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_Input" sheetId="1" state="visible" r:id="rId3"/>
    <sheet name="Financial Model &amp; DCF" sheetId="2" state="visible" r:id="rId4"/>
    <sheet name="Sensitiv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<sst xmlns="http://schemas.openxmlformats.org/spreadsheetml/2006/main" count="328" uniqueCount="307">
  <si>
    <t xml:space="preserve">DATA INPUT - historical financials. Fixed row keys in column A; one column per year. A Python extractor should write ONLY this tab. (You may hide this tab.)</t>
  </si>
  <si>
    <t xml:space="preserve">key</t>
  </si>
  <si>
    <t xml:space="preserve">label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</si>
  <si>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</si>
  <si>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</si>
  <si>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</si>
  <si>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</si>
  <si>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</si>
  <si>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-- income_statement --</t>
  </si>
  <si>
    <t xml:space="preserve">revenue</t>
  </si>
  <si>
    <t xml:space="preserve">Revenue</t>
  </si>
  <si>
    <t xml:space="preserve">cogs</t>
  </si>
  <si>
    <t xml:space="preserve">Cogs</t>
  </si>
  <si>
    <t xml:space="preserve">salaries_and_benefits</t>
  </si>
  <si>
    <t xml:space="preserve">Salaries And Benefits</t>
  </si>
  <si>
    <t xml:space="preserve">rent_and_overhead</t>
  </si>
  <si>
    <t xml:space="preserve">Rent And Overhead</t>
  </si>
  <si>
    <t xml:space="preserve">d_and_a</t>
  </si>
  <si>
    <t xml:space="preserve">D And A</t>
  </si>
  <si>
    <t xml:space="preserve">interest</t>
  </si>
  <si>
    <t xml:space="preserve">Interest</t>
  </si>
  <si>
    <t xml:space="preserve">taxes</t>
  </si>
  <si>
    <t xml:space="preserve">Taxes</t>
  </si>
  <si>
    <t xml:space="preserve">-- balance_sheet --</t>
  </si>
  <si>
    <t xml:space="preserve">cash</t>
  </si>
  <si>
    <t xml:space="preserve">Cash</t>
  </si>
  <si>
    <t xml:space="preserve">accounts_receivable</t>
  </si>
  <si>
    <t xml:space="preserve">Accounts Receivable</t>
  </si>
  <si>
    <t xml:space="preserve">inventory</t>
  </si>
  <si>
    <t xml:space="preserve">Inventory</t>
  </si>
  <si>
    <t xml:space="preserve">ppe</t>
  </si>
  <si>
    <t xml:space="preserve">Ppe</t>
  </si>
  <si>
    <t xml:space="preserve">accounts_payable</t>
  </si>
  <si>
    <t xml:space="preserve">Accounts Payable</t>
  </si>
  <si>
    <t xml:space="preserve">debt</t>
  </si>
  <si>
    <t xml:space="preserve">Debt</t>
  </si>
  <si>
    <t xml:space="preserve">equity_capital</t>
  </si>
  <si>
    <t xml:space="preserve">Equity Capital</t>
  </si>
  <si>
    <t xml:space="preserve">retained_earnings</t>
  </si>
  <si>
    <t xml:space="preserve">Retained Earnings</t>
  </si>
  <si>
    <t xml:space="preserve">-- schedules --</t>
  </si>
  <si>
    <t xml:space="preserve">capex</t>
  </si>
  <si>
    <t xml:space="preserve">Capex</t>
  </si>
  <si>
    <t xml:space="preserve">debt_issuance</t>
  </si>
  <si>
    <t xml:space="preserve">Debt Issuance</t>
  </si>
  <si>
    <t xml:space="preserve">equity_issued</t>
  </si>
  <si>
    <t xml:space="preserve">Equity Issued</t>
  </si>
  <si>
    <t xml:space="preserve">-- opening_balances --</t>
  </si>
  <si>
    <t xml:space="preserve">ppe_opening_first</t>
  </si>
  <si>
    <t xml:space="preserve">Ppe Opening First</t>
  </si>
  <si>
    <t xml:space="preserve">debt_opening_first</t>
  </si>
  <si>
    <t xml:space="preserve">Debt Opening First</t>
  </si>
  <si>
    <t xml:space="preserve">nol_opening</t>
  </si>
  <si>
    <t xml:space="preserve">Nol Opening</t>
  </si>
  <si>
    <t xml:space="preserve"> Apple Inc. (NASDAQ: AAPL)</t>
  </si>
  <si>
    <t xml:space="preserve">Historical Results</t>
  </si>
  <si>
    <t xml:space="preserve">Forecast Period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</si>
  <si>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</si>
  <si>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</si>
  <si>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</si>
  <si>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</si>
  <si>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</si>
  <si>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</si>
  <si>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</si>
  <si>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</si>
  <si>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</si>
  <si>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</si>
  <si>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</si>
  <si>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</si>
  <si>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</si>
  <si>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</si>
  <si>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</si>
  <si>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Balance Sheet Check</t>
  </si>
  <si>
    <t xml:space="preserve">All figures in USD billions unless noted | per-share values in USD</t>
  </si>
  <si>
    <t xml:space="preserve">Scenario: Prices 17-Jul-2026 (live quote). rf 4.55% = US 10Y as-of 17-Jul-2026 (was 4.30% - refreshed); terminal g = rf per Damodaran convention. AUDITED CONVENTIONS: per-share = equity / TODAY'S diluted count; capital returns modeled as equity outflows (count constant - no double count); treasury line includes ST+LT investments (in the equity bridge; their income excluded from FCF). DAMODARAN 10-YR: growth 6%-&gt;4.3%, opex fade CAVEAT: history trends UP (8.9%-&gt;12.1% FY21-25) - services-mix reversal is a named catalyst, treat as bull-leaning. S2C 3.5 with capex floor check. WACC 9.2%-&gt;8.6%, terminal g=rf 4.3%, exit 18x. Returns $105B/yr. Consensus $324. Forecast D&amp;A anchored to FY2025 dollar level (~US$11.7B, 7.9% of the post-treasury-reclass 'PP&amp;E &amp; other' base), growing with the capex roll. Perennial NWC cash release reflects Apple's structural negative working capital (payables + deferred services &gt; receivables + inventory); magnitude rides the broad folded payables line - directional, not precise. COGS%% derived from a SEGMENT-MIX build, not pinned: Services mix +~70bps/yr at a ~35pt gross-margin gap adds ~+25bps blended GM/yr, net of DRAM/NAND supercycle drag in FY26-27. GM path: 46.9 -&gt; 46.7 (dip) -&gt; 48.4 by FY2035 - direction-consistent with the 5-yr mix-driven expansion, dip named (memory costs).</t>
  </si>
  <si>
    <t xml:space="preserve">Assumptions</t>
  </si>
  <si>
    <t xml:space="preserve">Corporate actions: No dilutive actions found - searched 2026-07-17; buyback program modeled as capital returns (negative equity_issued), not count reduction. NEWS SCAN 2026-07-17 (FMP stock-news): DOJ antitrust EARLY SETTLEMENT talks (2024 suit) - de-risks App Store/Services tail; Apple v. OpenAI trade-secrets suit filed ~10-Jul (400+ ex-employees cited) - litigation overlay, no near-term P&amp;L; ~$851B cumulative directed to buybacks (supports capital-return modeling); market narrative rewarding Apple's low-capex 'AI minimalist' stance amid AI-capex doubts - consistent with this deck's capex path.</t>
  </si>
  <si>
    <t xml:space="preserve">Key Assumptions</t>
  </si>
  <si>
    <t xml:space="preserve">Revenue Growth (% Change)</t>
  </si>
  <si>
    <t xml:space="preserve">Cost of Goods Sold (% of Revenue)</t>
  </si>
  <si>
    <t xml:space="preserve">Research &amp; Development (% of Revenue)</t>
  </si>
  <si>
    <t xml:space="preserve">Selling, General &amp; Administrative (USD billions)</t>
  </si>
  <si>
    <t xml:space="preserve">Depreciation &amp; Amortization (% of PP&amp;E)</t>
  </si>
  <si>
    <t xml:space="preserve">Interest (% of Debt)</t>
  </si>
  <si>
    <t xml:space="preserve">Tax Rate (% of Earnings Before Tax)</t>
  </si>
  <si>
    <t xml:space="preserve">Accounts Receivable (Days)</t>
  </si>
  <si>
    <t xml:space="preserve">Inventory (Days)</t>
  </si>
  <si>
    <t xml:space="preserve">Accounts Payable (Days)</t>
  </si>
  <si>
    <t xml:space="preserve">Capital Expenditures (USD billions)</t>
  </si>
  <si>
    <t xml:space="preserve">Debt Issuance (Repayment) (USD billions)</t>
  </si>
  <si>
    <t xml:space="preserve">Equity Issued (Repaid) (USD billions)</t>
  </si>
  <si>
    <t xml:space="preserve">Days in Period</t>
  </si>
  <si>
    <t xml:space="preserve">Income Statement</t>
  </si>
  <si>
    <t xml:space="preserve">Cost of Goods Sold (COGS)</t>
  </si>
  <si>
    <t xml:space="preserve">Gross Profit</t>
  </si>
  <si>
    <t xml:space="preserve">Expenses</t>
  </si>
  <si>
    <t xml:space="preserve">Research &amp; Development</t>
  </si>
  <si>
    <t xml:space="preserve">Selling, General &amp; Administrative</t>
  </si>
  <si>
    <t xml:space="preserve">Depreciation &amp; Amortization</t>
  </si>
  <si>
    <t xml:space="preserve">Total Expenses</t>
  </si>
  <si>
    <t xml:space="preserve">Earnings Before Tax</t>
  </si>
  <si>
    <t xml:space="preserve">Net Earnings</t>
  </si>
  <si>
    <t xml:space="preserve">Balance Sheet</t>
  </si>
  <si>
    <t xml:space="preserve">Assets</t>
  </si>
  <si>
    <t xml:space="preserve">Property &amp; Equipment</t>
  </si>
  <si>
    <t xml:space="preserve">Total Assets</t>
  </si>
  <si>
    <t xml:space="preserve">Liabilities</t>
  </si>
  <si>
    <t xml:space="preserve">Total Liabilities</t>
  </si>
  <si>
    <t xml:space="preserve">Shareholder's Equity</t>
  </si>
  <si>
    <t xml:space="preserve">Total Liabilities &amp; Shareholder's Equity</t>
  </si>
  <si>
    <t xml:space="preserve">Check</t>
  </si>
  <si>
    <t xml:space="preserve">Cash Flow Statement</t>
  </si>
  <si>
    <t xml:space="preserve">Operating Cash Flow</t>
  </si>
  <si>
    <t xml:space="preserve">Plus: Depreciation &amp; Amortization</t>
  </si>
  <si>
    <t xml:space="preserve">Less: Changes in Working Capital</t>
  </si>
  <si>
    <t xml:space="preserve">Cash from Operations</t>
  </si>
  <si>
    <t xml:space="preserve">Investing Cash Flow</t>
  </si>
  <si>
    <t xml:space="preserve">Investments in Property &amp; Equipment</t>
  </si>
  <si>
    <t xml:space="preserve">Cash from Investing</t>
  </si>
  <si>
    <t xml:space="preserve">Financing Cash Flow</t>
  </si>
  <si>
    <t xml:space="preserve">Issuance (repayment) of debt</t>
  </si>
  <si>
    <t xml:space="preserve">Issuance (repayment) of equity</t>
  </si>
  <si>
    <t xml:space="preserve">Cash from Financing</t>
  </si>
  <si>
    <t xml:space="preserve">Net Increase (decrease) in Cash</t>
  </si>
  <si>
    <t xml:space="preserve">Opening Cash Balance</t>
  </si>
  <si>
    <t xml:space="preserve">Closing Cash Balance</t>
  </si>
  <si>
    <t xml:space="preserve">Historical CFS is PARTIAL: the 8-line schema omits dividends paid and securities flows, so computed historical cash movements do not reconcile to reported cash. Forecast years DO tie.</t>
  </si>
  <si>
    <t xml:space="preserve">Supporting Schedules</t>
  </si>
  <si>
    <t xml:space="preserve">Working Capital Schedule</t>
  </si>
  <si>
    <t xml:space="preserve">Net Working Capital (NWC)</t>
  </si>
  <si>
    <t xml:space="preserve">Change in NWC</t>
  </si>
  <si>
    <t xml:space="preserve">Depreciation Schedule</t>
  </si>
  <si>
    <t xml:space="preserve">PPE Opening</t>
  </si>
  <si>
    <t xml:space="preserve">Plus Capex</t>
  </si>
  <si>
    <t xml:space="preserve">Less Depreciation</t>
  </si>
  <si>
    <t xml:space="preserve">PPE Closing</t>
  </si>
  <si>
    <t xml:space="preserve">Debt &amp; Interest Schedule</t>
  </si>
  <si>
    <t xml:space="preserve">Debt Opening</t>
  </si>
  <si>
    <t xml:space="preserve">Issuance (repayment)</t>
  </si>
  <si>
    <t xml:space="preserve">Debt Closing</t>
  </si>
  <si>
    <t xml:space="preserve">Interest Expense</t>
  </si>
  <si>
    <t xml:space="preserve">Tax Loss (NOL) Schedule</t>
  </si>
  <si>
    <t xml:space="preserve">NOL Opening</t>
  </si>
  <si>
    <t xml:space="preserve">NOL Used</t>
  </si>
  <si>
    <t xml:space="preserve">NOL Closing</t>
  </si>
  <si>
    <t xml:space="preserve">Revenue Build-Up Schedule</t>
  </si>
  <si>
    <t xml:space="preserve">No revenue build-up provided - revenue growth rates in Key Assumptions are direct inputs. For commodity/project companies, provide forecast.revenue_buildup so growth is derived.</t>
  </si>
  <si>
    <t xml:space="preserve">DCF Valuation</t>
  </si>
  <si>
    <t xml:space="preserve">Valuation Inputs</t>
  </si>
  <si>
    <t xml:space="preserve">Transaction Date</t>
  </si>
  <si>
    <t xml:space="preserve">Current Share Price</t>
  </si>
  <si>
    <t xml:space="preserve">Shares Outstanding</t>
  </si>
  <si>
    <t xml:space="preserve">Market Capitalization</t>
  </si>
  <si>
    <t xml:space="preserve">Perpetual Growth Rate</t>
  </si>
  <si>
    <t xml:space="preserve">Exit EV/EBITDA Multiple</t>
  </si>
  <si>
    <t xml:space="preserve">Actual Market Cap (today)</t>
  </si>
  <si>
    <t xml:space="preserve">Actual Shares Outstanding</t>
  </si>
  <si>
    <t xml:space="preserve">Discounted Cash Flow</t>
  </si>
  <si>
    <t xml:space="preserve">Entry</t>
  </si>
  <si>
    <t xml:space="preserve">Exit</t>
  </si>
  <si>
    <t xml:space="preserve">Date</t>
  </si>
  <si>
    <t xml:space="preserve">Time Periods</t>
  </si>
  <si>
    <t xml:space="preserve">Year Fraction</t>
  </si>
  <si>
    <t xml:space="preserve">Cumulative Year Fraction</t>
  </si>
  <si>
    <t xml:space="preserve">Discount Rate (WACC)</t>
  </si>
  <si>
    <t xml:space="preserve">Discount Factor (cumulative)</t>
  </si>
  <si>
    <t xml:space="preserve">EBIT</t>
  </si>
  <si>
    <t xml:space="preserve">Less: Cash Taxes (unlevered)</t>
  </si>
  <si>
    <t xml:space="preserve">Plus: D&amp;A</t>
  </si>
  <si>
    <t xml:space="preserve">Less: Capex</t>
  </si>
  <si>
    <t xml:space="preserve">Less: Change in NWC</t>
  </si>
  <si>
    <t xml:space="preserve">Unlevered FCF</t>
  </si>
  <si>
    <t xml:space="preserve">(Entry)/Exit</t>
  </si>
  <si>
    <t xml:space="preserve">Transaction CF</t>
  </si>
  <si>
    <t xml:space="preserve">Terminal Value</t>
  </si>
  <si>
    <t xml:space="preserve">Perpetual Growth</t>
  </si>
  <si>
    <t xml:space="preserve">EV/EBITDA</t>
  </si>
  <si>
    <t xml:space="preserve">Average</t>
  </si>
  <si>
    <t xml:space="preserve">Perpetuity TV implied EV/EBITDA (vs assumed, vs spot)</t>
  </si>
  <si>
    <t xml:space="preserve">compare to the company's CURRENT spot multiple - this one number explains most verdicts</t>
  </si>
  <si>
    <t xml:space="preserve">Intrinsic Value</t>
  </si>
  <si>
    <t xml:space="preserve">Enterprise Value</t>
  </si>
  <si>
    <t xml:space="preserve">Plus: Cash</t>
  </si>
  <si>
    <t xml:space="preserve">Less: Debt</t>
  </si>
  <si>
    <t xml:space="preserve">Equity Value</t>
  </si>
  <si>
    <t xml:space="preserve">Intrinsic Value/Share</t>
  </si>
  <si>
    <t xml:space="preserve">Market Value</t>
  </si>
  <si>
    <t xml:space="preserve">Market Cap</t>
  </si>
  <si>
    <t xml:space="preserve">Plus: Debt</t>
  </si>
  <si>
    <t xml:space="preserve">Less: Cash</t>
  </si>
  <si>
    <t xml:space="preserve">Enterprise Value (entry)</t>
  </si>
  <si>
    <t xml:space="preserve">Rate of Return</t>
  </si>
  <si>
    <t xml:space="preserve">Target Price Upside</t>
  </si>
  <si>
    <t xml:space="preserve">Internal Rate of Return (IRR)</t>
  </si>
  <si>
    <t xml:space="preserve">Implied 10-yr Expected Annual Return</t>
  </si>
  <si>
    <t xml:space="preserve">WACC carry x fair-value convergence (FCF reinvested at WACC): at fair price this equals the WACC; a discount adds, a premium subtracts</t>
  </si>
  <si>
    <t xml:space="preserve">Implied Market Cap Projection</t>
  </si>
  <si>
    <t xml:space="preserve">Fiscal Year</t>
  </si>
  <si>
    <t xml:space="preserve">Implied Enterprise Value</t>
  </si>
  <si>
    <t xml:space="preserve">Implied Market Cap</t>
  </si>
  <si>
    <t xml:space="preserve">Implied Value/Share</t>
  </si>
  <si>
    <t xml:space="preserve">Value accretes at each year's WACC less FCF generated; net debt held constant. Model-implied path, not a prediction. If share count changes, compare PER-SHARE values.</t>
  </si>
  <si>
    <t xml:space="preserve">Stated simplifications: no interest income on accumulating cash (conservative); unlevered DCF taxes EBIT fully - NOL benefit appears in Net Earnings only; net-debt bridge uses the latest reported balance sheet - swap in the newest interim BS when published. Late-year balance-sheet ratios (ROE/ROA/BVPS) are distorted by the accumulating-cash assumption - directional only.</t>
  </si>
  <si>
    <t xml:space="preserve">ESTIMATED FIGURES - not read from a filing:</t>
  </si>
  <si>
    <t xml:space="preserve">  * FY2024 interest expense: source reported ZERO against 119.1bn of debt (issuer nets interest inside 'other income/(expense)'). ESTIMATED at 3.17% = the company's own last observed effective rate, giving 3.8bn. Not a reported figure - replace with the 10-K note when available.</t>
  </si>
  <si>
    <t xml:space="preserve">  * FY2025 interest expense: source reported ZERO against 112.4bn of debt (issuer nets interest inside 'other income/(expense)'). ESTIMATED at 3.17% = the company's own last observed effective rate, giving 3.6bn. Not a reported figure - replace with the 10-K note when available.</t>
  </si>
  <si>
    <t xml:space="preserve">Catalyst Odds (judgmental - the odds ARE the thesis; news scan as-of in attestation)</t>
  </si>
  <si>
    <t xml:space="preserve">Catalyst</t>
  </si>
  <si>
    <t xml:space="preserve">Odds</t>
  </si>
  <si>
    <t xml:space="preserve">Read</t>
  </si>
  <si>
    <t xml:space="preserve">Foldable iPhone supercycle lands FY26-27</t>
  </si>
  <si>
    <t xml:space="preserve">Upside to the deck's own unit and ASP path, not the base case</t>
  </si>
  <si>
    <t xml:space="preserve">Services growth holds &gt;=12%</t>
  </si>
  <si>
    <t xml:space="preserve">Mix shift carries gross margin; core margin thesis</t>
  </si>
  <si>
    <t xml:space="preserve">AI/Siri monetization visible by FY27</t>
  </si>
  <si>
    <t xml:space="preserve">Unpriced optionality - no revenue for it in the forecast</t>
  </si>
  <si>
    <t xml:space="preserve">DOJ antitrust settles without Services-model damage</t>
  </si>
  <si>
    <t xml:space="preserve">Early talks reported 17-Jul; removes the App Store tail-risk discount</t>
  </si>
  <si>
    <t xml:space="preserve">Buybacks sustain &gt;=$100B/yr</t>
  </si>
  <si>
    <t xml:space="preserve">Funds the per-share compounding; modeled as an equity outflow</t>
  </si>
  <si>
    <t xml:space="preserve">OpenAI lawsuit escalates into platform conflict</t>
  </si>
  <si>
    <t xml:space="preserve">Trade-secrets suit filed Jul-2026; overlay risk, not in the deck</t>
  </si>
  <si>
    <t xml:space="preserve">Cost of Capital Build - the discount rate is DERIVED here, not asserted</t>
  </si>
  <si>
    <t xml:space="preserve">Government bond yield (United States 10Y, as-of 2026-07-17)</t>
  </si>
  <si>
    <t xml:space="preserve">Less: sovereign default spread (Aa1)</t>
  </si>
  <si>
    <t xml:space="preserve">RISK-FREE RATE in USD (bond yield less sovereign spread)</t>
  </si>
  <si>
    <t xml:space="preserve">Equity risk premium (Damodaran country ERP table, last updated Jan-2026 (stern.nyu.edu/~adamodar), fetched 2026-07-19)</t>
  </si>
  <si>
    <t xml:space="preserve">Implied MARKET RETURN  Rm = rf + ERP</t>
  </si>
  <si>
    <t xml:space="preserve">Country risk premium (already inside the ERP above)</t>
  </si>
  <si>
    <t xml:space="preserve">Levered beta (adjusted)  [raw 1.097]</t>
  </si>
  <si>
    <t xml:space="preserve">Size / illiquidity premium</t>
  </si>
  <si>
    <t xml:space="preserve">Cost of equity = rf + beta x (ERP + CRP) + size premium</t>
  </si>
  <si>
    <t xml:space="preserve">Year-1 WACC used in the DCF grid (row 149) - cross-check they agree; the grid fades toward the mature rate.</t>
  </si>
  <si>
    <t xml:space="preserve">Cost of debt - pre-tax (marginal, = rf + credit spread)</t>
  </si>
  <si>
    <t xml:space="preserve">marginal: rf-equivalent + credit spread; after-tax at the MARGINAL rate 25% (not the effective rate)</t>
  </si>
  <si>
    <t xml:space="preserve">Cost of debt - after tax  = pre-tax x (1 - tax rate)</t>
  </si>
  <si>
    <t xml:space="preserve">WACC = CoE x (1-Wd) + Kd(after-tax) x Wd</t>
  </si>
  <si>
    <t xml:space="preserve">Terminal growth vs risk-free</t>
  </si>
  <si>
    <t xml:space="preserve">Damodaran convention for MATURE-MARKET compounders: terminal g = the risk-free rate (an economy cannot outgrow its own bond) - a gap there means one input is stale. For declining or finite-resource industries (coal, EM cyclicals) terminal g SHOULD sit well below rf; the gap is then deliberate, not an error.</t>
  </si>
  <si>
    <t xml:space="preserve">Additional premium: none - the model discounts at the derived build</t>
  </si>
  <si>
    <t xml:space="preserve">WACC USED IN THE MODEL (build + named premium)</t>
  </si>
  <si>
    <t xml:space="preserve">Tie-out vs the DCF grid (year-1 WACC, row 149)</t>
  </si>
  <si>
    <t xml:space="preserve">Must be 0.00%. A non-zero tie-out means the discount rate is asserted, not derived - any premium above the CAPM build must be NAMED above, never silent.</t>
  </si>
  <si>
    <t xml:space="preserve">Capital structure at MARKET values</t>
  </si>
  <si>
    <t xml:space="preserve">Weight of debt   Wd = D / (D + E)</t>
  </si>
  <si>
    <t xml:space="preserve">market values: gross debt 112.4 / (debt + mcap 4,902.0)</t>
  </si>
  <si>
    <t xml:space="preserve">Weight of equity We = 1 - Wd</t>
  </si>
  <si>
    <t xml:space="preserve">Check: We + Wd must equal 100%</t>
  </si>
  <si>
    <t xml:space="preserve">Equity contribution  = CoE x We</t>
  </si>
  <si>
    <t xml:space="preserve">Debt contribution    = Kd(after-tax) x Wd</t>
  </si>
  <si>
    <t xml:space="preserve">Sum = WACC (must equal the build above)</t>
  </si>
  <si>
    <t xml:space="preserve">Debt weight uses GROSS debt at book vs equity at MARKET (standard); a net-debt weight would be negative for net-cash names and is not used. Cost of debt is the MARGINAL rate today, not the legacy coupon - old ZIRP-era bonds understate what new borrowing costs and must never set the WACC.</t>
  </si>
  <si>
    <t xml:space="preserve">Charts and Graphs</t>
  </si>
  <si>
    <t xml:space="preserve">Gross Profit Margin (%)</t>
  </si>
  <si>
    <t xml:space="preserve"> Sensitivity &amp; Scenarios - NASDAQ: AAPL</t>
  </si>
  <si>
    <t xml:space="preserve">All figures in USD billions | per-share values in USD</t>
  </si>
  <si>
    <t xml:space="preserve">Grid 1: Intrinsic Value per Share - WACC (rows) x Perpetual Growth (columns) - perpetuity TV only</t>
  </si>
  <si>
    <t xml:space="preserve">Grid 2: Intrinsic Value per Share - WACC (rows) x Exit EV/EBITDA (columns) - exit-multiple TV only</t>
  </si>
  <si>
    <t xml:space="preserve">Grid 3: Intrinsic Value per Share - WACC (rows) x FCF Deck Scale (columns) - stresses the revenue/margin deck</t>
  </si>
  <si>
    <t xml:space="preserve">Scales every forecast cash flow and the terminal value by the column factor - the growth deck is usually where the real risk lives, not the discount rate.</t>
  </si>
  <si>
    <t xml:space="preserve">Scenarios: Implied Value per Share - Bear / Base / Bull</t>
  </si>
  <si>
    <t xml:space="preserve">Bear = higher WACC, lower terminal growth; Bull = the reverse. Blue offsets are editable. Terminal value = average of perpetuity and exit-multiple, like the DCF.</t>
  </si>
  <si>
    <t xml:space="preserve">Today</t>
  </si>
  <si>
    <t xml:space="preserve">WACC</t>
  </si>
  <si>
    <t xml:space="preserve">Growth</t>
  </si>
  <si>
    <t xml:space="preserve">Prob.</t>
  </si>
  <si>
    <t xml:space="preserve">Bear implied EV</t>
  </si>
  <si>
    <t xml:space="preserve">Bear</t>
  </si>
  <si>
    <t xml:space="preserve">Base implied EV</t>
  </si>
  <si>
    <t xml:space="preserve">Base</t>
  </si>
  <si>
    <t xml:space="preserve">Bull implied EV</t>
  </si>
  <si>
    <t xml:space="preserve">Bull</t>
  </si>
  <si>
    <t xml:space="preserve">Current Price</t>
  </si>
  <si>
    <t xml:space="preserve">Probability-Weighted Fair Value (PWFV, today)</t>
  </si>
  <si>
    <t xml:space="preserve">PWFV = scenario values weighted by the blue probabilities (decision-memo convention). These are TODAY values (already discounted at the WACC) - no extra hurdle deduction needed. Verdict grammar: price INSIDE the scenario band = no margin of safety.</t>
  </si>
  <si>
    <t xml:space="preserve">Dilution Scenario - Post-Deal Value per Share</t>
  </si>
  <si>
    <t xml:space="preserve">The engine excludes deal financing; this block restores it. Set to announced terms (share swap: new shares to the vendor, zero cash raised).</t>
  </si>
  <si>
    <t xml:space="preserve">New Shares Issued</t>
  </si>
  <si>
    <t xml:space="preserve">Cash Raised (USD billions)</t>
  </si>
  <si>
    <t xml:space="preserve">Post-Deal Shares Outstanding</t>
  </si>
  <si>
    <t xml:space="preserve">Post-Deal Equity Value</t>
  </si>
  <si>
    <t xml:space="preserve">Post-Deal Intrinsic Value/Share</t>
  </si>
  <si>
    <t xml:space="preserve">vs Current Price</t>
  </si>
  <si>
    <t xml:space="preserve">How to Build a Native Excel Data Table (What-If Analysis)</t>
  </si>
  <si>
    <t xml:space="preserve">1. In an empty corner cell type  ='Financial Model &amp; DCF'!D171  (intrinsic value/share).</t>
  </si>
  <si>
    <t xml:space="preserve">2. Across the top row type growth (or multiple) values; down the left column type WACC values.</t>
  </si>
  <si>
    <t xml:space="preserve">3. Select the whole block including the corner cell.</t>
  </si>
  <si>
    <t xml:space="preserve">4. Data tab -&gt; What-If Analysis -&gt; Data Table.</t>
  </si>
  <si>
    <t xml:space="preserve">5. Row input: 'Financial Model &amp; DCF'!$D$138 (growth) or $D$139 (multiple). Column input: 'Financial Model &amp; DCF'!$R$149.</t>
  </si>
  <si>
    <t xml:space="preserve">6. OK - Excel recalculates the live 3-statement engine for every combination.</t>
  </si>
  <si>
    <t xml:space="preserve">The grids above use closed-form shortcuts with DIFFERENT terminal-value methods (see each grid title);</t>
  </si>
  <si>
    <t xml:space="preserve">a Data Table stresses the live engine with the average-TV headline. Differences between them are expected.</t>
  </si>
  <si>
    <t xml:space="preserve">Guards Fired &amp; Responses (audit trail - the workbook outlives the conversation)</t>
  </si>
  <si>
    <t xml:space="preserve">Every warning the build-time verify fired, with the analyst's one-line response. UNANSWERED = ship-blocking.</t>
  </si>
  <si>
    <t xml:space="preserve">! NWC PERPETUAL SOURCE: working capital releases cash every single year (&gt;1% of revenue cumulative)</t>
  </si>
  <si>
    <t xml:space="preserve">Response: Structural negative working capital (payables + deferred services exceed receivables + inventory) - real for Apple; magnitude rides the broad folded payables line, directional not precise.</t>
  </si>
  <si>
    <t xml:space="preserve">PE Returns View - Entry / Hold / Exit (IRR &amp; MOIC)</t>
  </si>
  <si>
    <t xml:space="preserve">Take-private lens: buy the whole equity at entry, receive the capital returns the model already forecasts as owner distributions, exit at year 10 on the exit multiple. Unlevered by default - add acquisition debt by editing the entry line. Blue = deal assumptions.</t>
  </si>
  <si>
    <t xml:space="preserve">Entry premium to market</t>
  </si>
  <si>
    <t xml:space="preserve">Entry equity cost</t>
  </si>
  <si>
    <t xml:space="preserve">Exit EV/EBITDA (blue)</t>
  </si>
  <si>
    <t xml:space="preserve">Cash flows to owner</t>
  </si>
  <si>
    <t xml:space="preserve">IRR (annual)</t>
  </si>
  <si>
    <t xml:space="preserve">MOIC</t>
  </si>
  <si>
    <t xml:space="preserve">Exit year net debt uses the engine's forecast balance sheet (debt - cash, year 10); negative net debt (net cash) adds to exit proceeds. Distributions = forecast capital returns (buybacks/dividends redirected to the owner).</t>
  </si>
  <si>
    <t xml:space="preserve">IRR sensitivity: entry premium (rows) x exit multiple (cols)</t>
  </si>
  <si>
    <t xml:space="preserve">Grid IRR is money-multiple annualized ((total inflows / entry)^(1/N)-1) - a distribution-timing-blind approximation; the headline IRR above is the exact cash-flow IRR.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</si>
</sst>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;\(#,##0.00\)"/>
    <numFmt numFmtId="166" formatCode="0.0%"/>
    <numFmt numFmtId="167" formatCode="0"/>
    <numFmt numFmtId="168" formatCode="0.0000"/>
    <numFmt numFmtId="169" formatCode="dd/mm/yy"/>
    <numFmt numFmtId="170" formatCode="0.00%"/>
    <numFmt numFmtId="171" formatCode="0.0\x"/>
    <numFmt numFmtId="172" formatCode="0.00"/>
    <numFmt numFmtId="173" formatCode="0.000"/>
    <numFmt numFmtId="174" formatCode="0%"/>
    <numFmt numFmtId="175" formatCode="0.00\x"/>
    <numFmt numFmtId="176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C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b val="true"/>
      <i val="true"/>
      <sz val="10"/>
      <color rgb="FF595959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3"/>
      <color rgb="FF2E5B9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  <fill>
      <patternFill patternType="solid">
        <fgColor rgb="FFFFF2CC"/>
        <bgColor rgb="FFF9F9F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2E5B9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472C4"/>
      <rgbColor rgb="FF5BC0DE"/>
      <rgbColor rgb="FF99CC00"/>
      <rgbColor rgb="FFFFCC00"/>
      <rgbColor rgb="FFFF9900"/>
      <rgbColor rgb="FFED7D31"/>
      <rgbColor rgb="FF59595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&amp; Gross Profit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'Financial Model &amp; DCF'!$A$277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472C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Model &amp; DCF'!$D$2:$R$2</c:f>
              <c:strCach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</c:strCache>
            </c:strRef>
          </c:cat>
          <c:val>
            <c:numRef>
              <c:f>'Financial Model &amp; DCF'!$D$277:$R$277</c:f>
              <c:numCache>
                <c:formatCode>#,##0.00;\(#,##0.00\)</c:formatCode>
                <c:ptCount val="15"/>
                <c:pt idx="0">
                  <c:v>365.817</c:v>
                </c:pt>
                <c:pt idx="1">
                  <c:v>394.328</c:v>
                </c:pt>
                <c:pt idx="2">
                  <c:v>383.285</c:v>
                </c:pt>
                <c:pt idx="3">
                  <c:v>391.035</c:v>
                </c:pt>
                <c:pt idx="4">
                  <c:v>416.161</c:v>
                </c:pt>
                <c:pt idx="5">
                  <c:v>441.13066</c:v>
                </c:pt>
                <c:pt idx="6">
                  <c:v>466.71623828</c:v>
                </c:pt>
                <c:pt idx="7">
                  <c:v>492.3856313854</c:v>
                </c:pt>
                <c:pt idx="8">
                  <c:v>517.989684217441</c:v>
                </c:pt>
                <c:pt idx="9">
                  <c:v>543.889168428313</c:v>
                </c:pt>
                <c:pt idx="10">
                  <c:v>569.995848512872</c:v>
                </c:pt>
                <c:pt idx="11">
                  <c:v>596.785653392977</c:v>
                </c:pt>
                <c:pt idx="12">
                  <c:v>623.641007795661</c:v>
                </c:pt>
                <c:pt idx="13">
                  <c:v>651.08121213867</c:v>
                </c:pt>
                <c:pt idx="14">
                  <c:v>679.077704260633</c:v>
                </c:pt>
              </c:numCache>
            </c:numRef>
          </c:val>
        </c:ser>
        <c:gapWidth val="60"/>
        <c:overlap val="0"/>
        <c:axId val="26688858"/>
        <c:axId val="52353530"/>
      </c:barChart>
      <c:lineChart>
        <c:grouping val="standard"/>
        <c:varyColors val="0"/>
        <c:ser>
          <c:idx val="1"/>
          <c:order val="1"/>
          <c:tx>
            <c:strRef>
              <c:f>'Financial Model &amp; DCF'!$A$278</c:f>
              <c:strCache>
                <c:ptCount val="1"/>
                <c:pt idx="0">
                  <c:v>Gross Profit Margin (%)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Model &amp; DCF'!$D$2:$R$2</c:f>
              <c:strCach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</c:strCache>
            </c:strRef>
          </c:cat>
          <c:val>
            <c:numRef>
              <c:f>'Financial Model &amp; DCF'!$D$278:$R$278</c:f>
              <c:numCache>
                <c:formatCode>0.0%</c:formatCode>
                <c:ptCount val="15"/>
                <c:pt idx="0">
                  <c:v>0.417793596251678</c:v>
                </c:pt>
                <c:pt idx="1">
                  <c:v>0.433096305613601</c:v>
                </c:pt>
                <c:pt idx="2">
                  <c:v>0.441311295772076</c:v>
                </c:pt>
                <c:pt idx="3">
                  <c:v>0.462063498152339</c:v>
                </c:pt>
                <c:pt idx="4">
                  <c:v>0.469051641071604</c:v>
                </c:pt>
                <c:pt idx="5">
                  <c:v>0.467</c:v>
                </c:pt>
                <c:pt idx="6">
                  <c:v>0.4665</c:v>
                </c:pt>
                <c:pt idx="7">
                  <c:v>0.469</c:v>
                </c:pt>
                <c:pt idx="8">
                  <c:v>0.4715</c:v>
                </c:pt>
                <c:pt idx="9">
                  <c:v>0.474</c:v>
                </c:pt>
                <c:pt idx="10">
                  <c:v>0.476</c:v>
                </c:pt>
                <c:pt idx="11">
                  <c:v>0.478</c:v>
                </c:pt>
                <c:pt idx="12">
                  <c:v>0.48</c:v>
                </c:pt>
                <c:pt idx="13">
                  <c:v>0.482</c:v>
                </c:pt>
                <c:pt idx="14">
                  <c:v>0.484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878330"/>
        <c:axId val="87922663"/>
      </c:lineChart>
      <c:catAx>
        <c:axId val="266888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353530"/>
        <c:crosses val="autoZero"/>
        <c:auto val="1"/>
        <c:lblAlgn val="ctr"/>
        <c:lblOffset val="100"/>
        <c:noMultiLvlLbl val="0"/>
      </c:catAx>
      <c:valAx>
        <c:axId val="523535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688858"/>
        <c:crosses val="autoZero"/>
        <c:crossBetween val="between"/>
      </c:valAx>
      <c:catAx>
        <c:axId val="6387833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922663"/>
        <c:crosses val="autoZero"/>
        <c:auto val="1"/>
        <c:lblAlgn val="ctr"/>
        <c:lblOffset val="100"/>
        <c:noMultiLvlLbl val="0"/>
      </c:catAx>
      <c:valAx>
        <c:axId val="87922663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878330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'Financial Model &amp; DCF'!$A$280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Model &amp; DCF'!$D$2:$R$2</c:f>
              <c:strCach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</c:strCache>
            </c:strRef>
          </c:cat>
          <c:val>
            <c:numRef>
              <c:f>'Financial Model &amp; DCF'!$D$280:$R$280</c:f>
              <c:numCache>
                <c:formatCode>#,##0.00;\(#,##0.00\)</c:formatCode>
                <c:ptCount val="15"/>
                <c:pt idx="1">
                  <c:v>118.731</c:v>
                </c:pt>
                <c:pt idx="2">
                  <c:v>100.612</c:v>
                </c:pt>
                <c:pt idx="3">
                  <c:v>117.3846</c:v>
                </c:pt>
                <c:pt idx="4">
                  <c:v>99.4766</c:v>
                </c:pt>
                <c:pt idx="5">
                  <c:v>140.851850791468</c:v>
                </c:pt>
                <c:pt idx="6">
                  <c:v>140.6661573261</c:v>
                </c:pt>
                <c:pt idx="7">
                  <c:v>148.48667453281</c:v>
                </c:pt>
                <c:pt idx="8">
                  <c:v>156.957595886752</c:v>
                </c:pt>
                <c:pt idx="9">
                  <c:v>166.143265245473</c:v>
                </c:pt>
                <c:pt idx="10">
                  <c:v>175.054298329098</c:v>
                </c:pt>
                <c:pt idx="11">
                  <c:v>184.612665814547</c:v>
                </c:pt>
                <c:pt idx="12">
                  <c:v>193.695524801893</c:v>
                </c:pt>
                <c:pt idx="13">
                  <c:v>203.745978658676</c:v>
                </c:pt>
                <c:pt idx="14">
                  <c:v>213.494005905568</c:v>
                </c:pt>
              </c:numCache>
            </c:numRef>
          </c:val>
        </c:ser>
        <c:ser>
          <c:idx val="1"/>
          <c:order val="1"/>
          <c:tx>
            <c:strRef>
              <c:f>'Financial Model &amp; DCF'!$A$281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1F386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Model &amp; DCF'!$D$2:$R$2</c:f>
              <c:strCach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</c:strCache>
            </c:strRef>
          </c:cat>
          <c:val>
            <c:numRef>
              <c:f>'Financial Model &amp; DCF'!$D$281:$R$281</c:f>
              <c:numCache>
                <c:formatCode>#,##0.00;\(#,##0.00\)</c:formatCode>
                <c:ptCount val="15"/>
                <c:pt idx="1">
                  <c:v>-10.708</c:v>
                </c:pt>
                <c:pt idx="2">
                  <c:v>-10.959</c:v>
                </c:pt>
                <c:pt idx="3">
                  <c:v>-9.447</c:v>
                </c:pt>
                <c:pt idx="4">
                  <c:v>-12.715</c:v>
                </c:pt>
                <c:pt idx="5">
                  <c:v>-13</c:v>
                </c:pt>
                <c:pt idx="6">
                  <c:v>-13.5</c:v>
                </c:pt>
                <c:pt idx="7">
                  <c:v>-14</c:v>
                </c:pt>
                <c:pt idx="8">
                  <c:v>-14.5</c:v>
                </c:pt>
                <c:pt idx="9">
                  <c:v>-15</c:v>
                </c:pt>
                <c:pt idx="10">
                  <c:v>-15</c:v>
                </c:pt>
                <c:pt idx="11">
                  <c:v>-15</c:v>
                </c:pt>
                <c:pt idx="12">
                  <c:v>-15</c:v>
                </c:pt>
                <c:pt idx="13">
                  <c:v>-15</c:v>
                </c:pt>
                <c:pt idx="14">
                  <c:v>-15</c:v>
                </c:pt>
              </c:numCache>
            </c:numRef>
          </c:val>
        </c:ser>
        <c:ser>
          <c:idx val="2"/>
          <c:order val="2"/>
          <c:tx>
            <c:strRef>
              <c:f>'Financial Model &amp; DCF'!$A$282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5BC0DE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Model &amp; DCF'!$D$2:$R$2</c:f>
              <c:strCach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</c:strCache>
            </c:strRef>
          </c:cat>
          <c:val>
            <c:numRef>
              <c:f>'Financial Model &amp; DCF'!$D$282:$R$282</c:f>
              <c:numCache>
                <c:formatCode>#,##0.00;\(#,##0.00\)</c:formatCode>
                <c:ptCount val="15"/>
                <c:pt idx="1">
                  <c:v>-89.525</c:v>
                </c:pt>
                <c:pt idx="2">
                  <c:v>-87.451</c:v>
                </c:pt>
                <c:pt idx="3">
                  <c:v>-100.947</c:v>
                </c:pt>
                <c:pt idx="4">
                  <c:v>-99.194</c:v>
                </c:pt>
                <c:pt idx="5">
                  <c:v>-105</c:v>
                </c:pt>
                <c:pt idx="6">
                  <c:v>-105</c:v>
                </c:pt>
                <c:pt idx="7">
                  <c:v>-105</c:v>
                </c:pt>
                <c:pt idx="8">
                  <c:v>-105</c:v>
                </c:pt>
                <c:pt idx="9">
                  <c:v>-105</c:v>
                </c:pt>
                <c:pt idx="10">
                  <c:v>-105</c:v>
                </c:pt>
                <c:pt idx="11">
                  <c:v>-105</c:v>
                </c:pt>
                <c:pt idx="12">
                  <c:v>-105</c:v>
                </c:pt>
                <c:pt idx="13">
                  <c:v>-105</c:v>
                </c:pt>
                <c:pt idx="14">
                  <c:v>-105</c:v>
                </c:pt>
              </c:numCache>
            </c:numRef>
          </c:val>
        </c:ser>
        <c:gapWidth val="60"/>
        <c:overlap val="-20"/>
        <c:axId val="99515413"/>
        <c:axId val="74412311"/>
      </c:barChart>
      <c:catAx>
        <c:axId val="995154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412311"/>
        <c:crosses val="autoZero"/>
        <c:auto val="1"/>
        <c:lblAlgn val="ctr"/>
        <c:lblOffset val="100"/>
        <c:noMultiLvlLbl val="0"/>
      </c:catAx>
      <c:valAx>
        <c:axId val="744123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5154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Implied Share Price Scenarios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Sensitivity!$A$40</c:f>
              <c:strCache>
                <c:ptCount val="1"/>
                <c:pt idx="0">
                  <c:v>Bear</c:v>
                </c:pt>
              </c:strCache>
            </c:strRef>
          </c:tx>
          <c:spPr>
            <a:solidFill>
              <a:srgbClr val="C00000"/>
            </a:solidFill>
            <a:ln w="24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Sensitivity!$B$38:$L$38</c:f>
              <c:strCache>
                <c:ptCount val="11"/>
                <c:pt idx="0">
                  <c:v>Today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strCache>
            </c:strRef>
          </c:cat>
          <c:val>
            <c:numRef>
              <c:f>Sensitivity!$B$40:$L$40</c:f>
              <c:numCache>
                <c:formatCode>#,##0.00;\(#,##0.00\)</c:formatCode>
                <c:ptCount val="11"/>
                <c:pt idx="0">
                  <c:v>163.87721877928</c:v>
                </c:pt>
                <c:pt idx="1">
                  <c:v>165.402397429438</c:v>
                </c:pt>
                <c:pt idx="2">
                  <c:v>174.040493402136</c:v>
                </c:pt>
                <c:pt idx="3">
                  <c:v>183.101009179577</c:v>
                </c:pt>
                <c:pt idx="4">
                  <c:v>192.584693384839</c:v>
                </c:pt>
                <c:pt idx="5">
                  <c:v>202.487993734965</c:v>
                </c:pt>
                <c:pt idx="6">
                  <c:v>212.840297920142</c:v>
                </c:pt>
                <c:pt idx="7">
                  <c:v>223.645397417908</c:v>
                </c:pt>
                <c:pt idx="8">
                  <c:v>234.98393415317</c:v>
                </c:pt>
                <c:pt idx="9">
                  <c:v>246.846895978433</c:v>
                </c:pt>
                <c:pt idx="10">
                  <c:v>259.310776655259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Sensitivity!$A$42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4472C4"/>
            </a:solidFill>
            <a:ln w="2412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Sensitivity!$B$38:$L$38</c:f>
              <c:strCache>
                <c:ptCount val="11"/>
                <c:pt idx="0">
                  <c:v>Today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strCache>
            </c:strRef>
          </c:cat>
          <c:val>
            <c:numRef>
              <c:f>Sensitivity!$B$42:$L$42</c:f>
              <c:numCache>
                <c:formatCode>#,##0.00;\(#,##0.00\)</c:formatCode>
                <c:ptCount val="11"/>
                <c:pt idx="0">
                  <c:v>216.312628852342</c:v>
                </c:pt>
                <c:pt idx="1">
                  <c:v>218.108529802165</c:v>
                </c:pt>
                <c:pt idx="2">
                  <c:v>228.030220556419</c:v>
                </c:pt>
                <c:pt idx="3">
                  <c:v>238.312728504044</c:v>
                </c:pt>
                <c:pt idx="4">
                  <c:v>248.94301908588</c:v>
                </c:pt>
                <c:pt idx="5">
                  <c:v>259.902548240687</c:v>
                </c:pt>
                <c:pt idx="6">
                  <c:v>271.204484638027</c:v>
                </c:pt>
                <c:pt idx="7">
                  <c:v>282.834408413825</c:v>
                </c:pt>
                <c:pt idx="8">
                  <c:v>294.853097219642</c:v>
                </c:pt>
                <c:pt idx="9">
                  <c:v>307.228341550065</c:v>
                </c:pt>
                <c:pt idx="10">
                  <c:v>320.011609160492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Sensitivity!$A$44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rgbClr val="70AD47"/>
            </a:solidFill>
            <a:ln w="2412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Sensitivity!$B$38:$L$38</c:f>
              <c:strCache>
                <c:ptCount val="11"/>
                <c:pt idx="0">
                  <c:v>Today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strCache>
            </c:strRef>
          </c:cat>
          <c:val>
            <c:numRef>
              <c:f>Sensitivity!$B$44:$L$44</c:f>
              <c:numCache>
                <c:formatCode>#,##0.00;\(#,##0.00\)</c:formatCode>
                <c:ptCount val="11"/>
                <c:pt idx="0">
                  <c:v>375.088922900303</c:v>
                </c:pt>
                <c:pt idx="1">
                  <c:v>378.117879120534</c:v>
                </c:pt>
                <c:pt idx="2">
                  <c:v>394.361313610015</c:v>
                </c:pt>
                <c:pt idx="3">
                  <c:v>411.188159610548</c:v>
                </c:pt>
                <c:pt idx="4">
                  <c:v>428.592991000663</c:v>
                </c:pt>
                <c:pt idx="5">
                  <c:v>446.565639569943</c:v>
                </c:pt>
                <c:pt idx="6">
                  <c:v>465.128578551665</c:v>
                </c:pt>
                <c:pt idx="7">
                  <c:v>484.277048956017</c:v>
                </c:pt>
                <c:pt idx="8">
                  <c:v>504.082421120335</c:v>
                </c:pt>
                <c:pt idx="9">
                  <c:v>524.522568144817</c:v>
                </c:pt>
                <c:pt idx="10">
                  <c:v>545.66035608212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Sensitivity!$A$45</c:f>
              <c:strCache>
                <c:ptCount val="1"/>
                <c:pt idx="0">
                  <c:v>Current Price</c:v>
                </c:pt>
              </c:strCache>
            </c:strRef>
          </c:tx>
          <c:spPr>
            <a:solidFill>
              <a:srgbClr val="808080"/>
            </a:solidFill>
            <a:ln w="1260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Sensitivity!$B$38:$L$38</c:f>
              <c:strCache>
                <c:ptCount val="11"/>
                <c:pt idx="0">
                  <c:v>Today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strCache>
            </c:strRef>
          </c:cat>
          <c:val>
            <c:numRef>
              <c:f>Sensitivity!$B$45:$L$45</c:f>
              <c:numCache>
                <c:formatCode>#,##0.00;\(#,##0.00\)</c:formatCode>
                <c:ptCount val="11"/>
                <c:pt idx="0">
                  <c:v>333.74</c:v>
                </c:pt>
                <c:pt idx="1">
                  <c:v>333.74</c:v>
                </c:pt>
                <c:pt idx="2">
                  <c:v>333.74</c:v>
                </c:pt>
                <c:pt idx="3">
                  <c:v>333.74</c:v>
                </c:pt>
                <c:pt idx="4">
                  <c:v>333.74</c:v>
                </c:pt>
                <c:pt idx="5">
                  <c:v>333.74</c:v>
                </c:pt>
                <c:pt idx="6">
                  <c:v>333.74</c:v>
                </c:pt>
                <c:pt idx="7">
                  <c:v>333.74</c:v>
                </c:pt>
                <c:pt idx="8">
                  <c:v>333.74</c:v>
                </c:pt>
                <c:pt idx="9">
                  <c:v>333.74</c:v>
                </c:pt>
                <c:pt idx="10">
                  <c:v>333.74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048536"/>
        <c:axId val="22686572"/>
      </c:lineChart>
      <c:catAx>
        <c:axId val="350485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686572"/>
        <c:crosses val="autoZero"/>
        <c:auto val="1"/>
        <c:lblAlgn val="ctr"/>
        <c:lblOffset val="100"/>
        <c:noMultiLvlLbl val="0"/>
      </c:catAx>
      <c:valAx>
        <c:axId val="226865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04853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285</xdr:row>
      <xdr:rowOff>0</xdr:rowOff>
    </xdr:from>
    <xdr:to>
      <xdr:col>4</xdr:col>
      <xdr:colOff>810360</xdr:colOff>
      <xdr:row>302</xdr:row>
      <xdr:rowOff>1080</xdr:rowOff>
    </xdr:to>
    <xdr:graphicFrame>
      <xdr:nvGraphicFramePr>
        <xdr:cNvPr id="1" name="Chart 1"/>
        <xdr:cNvGraphicFramePr/>
      </xdr:nvGraphicFramePr>
      <xdr:xfrm>
        <a:off x="0" y="445179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285</xdr:row>
      <xdr:rowOff>0</xdr:rowOff>
    </xdr:from>
    <xdr:to>
      <xdr:col>13</xdr:col>
      <xdr:colOff>105840</xdr:colOff>
      <xdr:row>302</xdr:row>
      <xdr:rowOff>1080</xdr:rowOff>
    </xdr:to>
    <xdr:graphicFrame>
      <xdr:nvGraphicFramePr>
        <xdr:cNvPr id="2" name="Chart 2"/>
        <xdr:cNvGraphicFramePr/>
      </xdr:nvGraphicFramePr>
      <xdr:xfrm>
        <a:off x="8176320" y="445179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49</xdr:row>
      <xdr:rowOff>0</xdr:rowOff>
    </xdr:from>
    <xdr:to>
      <xdr:col>5</xdr:col>
      <xdr:colOff>198720</xdr:colOff>
      <xdr:row>67</xdr:row>
      <xdr:rowOff>170640</xdr:rowOff>
    </xdr:to>
    <xdr:graphicFrame>
      <xdr:nvGraphicFramePr>
        <xdr:cNvPr id="3" name="Chart 1"/>
        <xdr:cNvGraphicFramePr/>
      </xdr:nvGraphicFramePr>
      <xdr:xfrm>
        <a:off x="0" y="939276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7" min="3" style="0" width="1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1" t="s">
        <v>8</v>
      </c>
    </row>
    <row r="5" customFormat="false" ht="15" hidden="false" customHeight="false" outlineLevel="0" collapsed="false">
      <c r="A5" s="3" t="s">
        <v>9</v>
      </c>
      <c r="B5" s="3" t="s">
        <v>10</v>
      </c>
      <c r="C5" s="4" t="n">
        <v>365.817</v>
      </c>
      <c r="D5" s="4" t="n">
        <v>394.328</v>
      </c>
      <c r="E5" s="4" t="n">
        <v>383.285</v>
      </c>
      <c r="F5" s="4" t="n">
        <v>391.035</v>
      </c>
      <c r="G5" s="4" t="n">
        <v>416.161</v>
      </c>
    </row>
    <row r="6" customFormat="false" ht="15" hidden="false" customHeight="false" outlineLevel="0" collapsed="false">
      <c r="A6" s="3" t="s">
        <v>11</v>
      </c>
      <c r="B6" s="3" t="s">
        <v>12</v>
      </c>
      <c r="C6" s="4" t="n">
        <v>212.981</v>
      </c>
      <c r="D6" s="4" t="n">
        <v>223.546</v>
      </c>
      <c r="E6" s="4" t="n">
        <v>214.137</v>
      </c>
      <c r="F6" s="4" t="n">
        <v>210.352</v>
      </c>
      <c r="G6" s="4" t="n">
        <v>220.96</v>
      </c>
    </row>
    <row r="7" customFormat="false" ht="15" hidden="false" customHeight="false" outlineLevel="0" collapsed="false">
      <c r="A7" s="3" t="s">
        <v>13</v>
      </c>
      <c r="B7" s="3" t="s">
        <v>14</v>
      </c>
      <c r="C7" s="4" t="n">
        <v>16.2796</v>
      </c>
      <c r="D7" s="4" t="n">
        <v>20.5739</v>
      </c>
      <c r="E7" s="4" t="n">
        <v>23.6322</v>
      </c>
      <c r="F7" s="4" t="n">
        <v>25.1224</v>
      </c>
      <c r="G7" s="4" t="n">
        <v>28.047</v>
      </c>
    </row>
    <row r="8" customFormat="false" ht="15" hidden="false" customHeight="false" outlineLevel="0" collapsed="false">
      <c r="A8" s="3" t="s">
        <v>15</v>
      </c>
      <c r="B8" s="3" t="s">
        <v>16</v>
      </c>
      <c r="C8" s="4" t="n">
        <v>16.3234</v>
      </c>
      <c r="D8" s="4" t="n">
        <v>19.6671</v>
      </c>
      <c r="E8" s="4" t="n">
        <v>19.6958</v>
      </c>
      <c r="F8" s="4" t="n">
        <v>20.8996</v>
      </c>
      <c r="G8" s="4" t="n">
        <v>22.406</v>
      </c>
    </row>
    <row r="9" customFormat="false" ht="15" hidden="false" customHeight="false" outlineLevel="0" collapsed="false">
      <c r="A9" s="3" t="s">
        <v>17</v>
      </c>
      <c r="B9" s="3" t="s">
        <v>18</v>
      </c>
      <c r="C9" s="4" t="n">
        <v>11.284</v>
      </c>
      <c r="D9" s="4" t="n">
        <v>11.104</v>
      </c>
      <c r="E9" s="4" t="n">
        <v>11.519</v>
      </c>
      <c r="F9" s="4" t="n">
        <v>11.445</v>
      </c>
      <c r="G9" s="4" t="n">
        <v>11.698</v>
      </c>
    </row>
    <row r="10" customFormat="false" ht="15" hidden="false" customHeight="false" outlineLevel="0" collapsed="false">
      <c r="A10" s="3" t="s">
        <v>19</v>
      </c>
      <c r="B10" s="3" t="s">
        <v>20</v>
      </c>
      <c r="C10" s="4" t="n">
        <v>2.645</v>
      </c>
      <c r="D10" s="4" t="n">
        <v>2.931</v>
      </c>
      <c r="E10" s="4" t="n">
        <v>3.933</v>
      </c>
      <c r="F10" s="4" t="n">
        <v>3.7784</v>
      </c>
      <c r="G10" s="4" t="n">
        <v>3.5664</v>
      </c>
    </row>
    <row r="11" customFormat="false" ht="15" hidden="false" customHeight="false" outlineLevel="0" collapsed="false">
      <c r="A11" s="3" t="s">
        <v>21</v>
      </c>
      <c r="B11" s="3" t="s">
        <v>22</v>
      </c>
      <c r="C11" s="4" t="n">
        <v>14.527</v>
      </c>
      <c r="D11" s="4" t="n">
        <v>19.3</v>
      </c>
      <c r="E11" s="4" t="n">
        <v>16.741</v>
      </c>
      <c r="F11" s="4" t="n">
        <v>29.749</v>
      </c>
      <c r="G11" s="4" t="n">
        <v>20.719</v>
      </c>
    </row>
    <row r="12" customFormat="false" ht="15" hidden="false" customHeight="false" outlineLevel="0" collapsed="false">
      <c r="A12" s="1" t="s">
        <v>23</v>
      </c>
    </row>
    <row r="13" customFormat="false" ht="15" hidden="false" customHeight="false" outlineLevel="0" collapsed="false">
      <c r="A13" s="3" t="s">
        <v>24</v>
      </c>
      <c r="B13" s="3" t="s">
        <v>25</v>
      </c>
      <c r="C13" s="4" t="n">
        <v>190.516</v>
      </c>
      <c r="D13" s="4" t="n">
        <v>169.109</v>
      </c>
      <c r="E13" s="4" t="n">
        <v>162.099</v>
      </c>
      <c r="F13" s="4" t="n">
        <v>156.65</v>
      </c>
      <c r="G13" s="4" t="n">
        <v>132.42</v>
      </c>
    </row>
    <row r="14" customFormat="false" ht="15" hidden="false" customHeight="false" outlineLevel="0" collapsed="false">
      <c r="A14" s="3" t="s">
        <v>26</v>
      </c>
      <c r="B14" s="3" t="s">
        <v>27</v>
      </c>
      <c r="C14" s="4" t="n">
        <v>51.506</v>
      </c>
      <c r="D14" s="4" t="n">
        <v>60.932</v>
      </c>
      <c r="E14" s="4" t="n">
        <v>60.985</v>
      </c>
      <c r="F14" s="4" t="n">
        <v>66.243</v>
      </c>
      <c r="G14" s="4" t="n">
        <v>72.957</v>
      </c>
    </row>
    <row r="15" customFormat="false" ht="15" hidden="false" customHeight="false" outlineLevel="0" collapsed="false">
      <c r="A15" s="3" t="s">
        <v>28</v>
      </c>
      <c r="B15" s="3" t="s">
        <v>29</v>
      </c>
      <c r="C15" s="4" t="n">
        <v>6.58</v>
      </c>
      <c r="D15" s="4" t="n">
        <v>4.946</v>
      </c>
      <c r="E15" s="4" t="n">
        <v>6.331</v>
      </c>
      <c r="F15" s="4" t="n">
        <v>7.286</v>
      </c>
      <c r="G15" s="4" t="n">
        <v>5.718</v>
      </c>
    </row>
    <row r="16" customFormat="false" ht="15" hidden="false" customHeight="false" outlineLevel="0" collapsed="false">
      <c r="A16" s="3" t="s">
        <v>30</v>
      </c>
      <c r="B16" s="3" t="s">
        <v>31</v>
      </c>
      <c r="C16" s="4" t="n">
        <v>102.4</v>
      </c>
      <c r="D16" s="4" t="n">
        <v>117.768</v>
      </c>
      <c r="E16" s="4" t="n">
        <v>123.168</v>
      </c>
      <c r="F16" s="4" t="n">
        <v>134.801</v>
      </c>
      <c r="G16" s="4" t="n">
        <v>148.146</v>
      </c>
    </row>
    <row r="17" customFormat="false" ht="15" hidden="false" customHeight="false" outlineLevel="0" collapsed="false">
      <c r="A17" s="3" t="s">
        <v>32</v>
      </c>
      <c r="B17" s="3" t="s">
        <v>33</v>
      </c>
      <c r="C17" s="4" t="n">
        <v>151.39</v>
      </c>
      <c r="D17" s="4" t="n">
        <v>169.603</v>
      </c>
      <c r="E17" s="4" t="n">
        <v>166.507</v>
      </c>
      <c r="F17" s="4" t="n">
        <v>188.971</v>
      </c>
      <c r="G17" s="4" t="n">
        <v>173.131</v>
      </c>
    </row>
    <row r="18" customFormat="false" ht="15" hidden="false" customHeight="false" outlineLevel="0" collapsed="false">
      <c r="A18" s="3" t="s">
        <v>34</v>
      </c>
      <c r="B18" s="3" t="s">
        <v>35</v>
      </c>
      <c r="C18" s="4" t="n">
        <v>136.522</v>
      </c>
      <c r="D18" s="4" t="n">
        <v>132.48</v>
      </c>
      <c r="E18" s="4" t="n">
        <v>123.93</v>
      </c>
      <c r="F18" s="4" t="n">
        <v>119.059</v>
      </c>
      <c r="G18" s="4" t="n">
        <v>112.377</v>
      </c>
    </row>
    <row r="19" customFormat="false" ht="15" hidden="false" customHeight="false" outlineLevel="0" collapsed="false">
      <c r="A19" s="3" t="s">
        <v>36</v>
      </c>
      <c r="B19" s="3" t="s">
        <v>37</v>
      </c>
      <c r="C19" s="4" t="n">
        <v>57.528</v>
      </c>
      <c r="D19" s="4" t="n">
        <v>53.74</v>
      </c>
      <c r="E19" s="4" t="n">
        <v>62.36</v>
      </c>
      <c r="F19" s="4" t="n">
        <v>76.104</v>
      </c>
      <c r="G19" s="4" t="n">
        <v>87.997</v>
      </c>
    </row>
    <row r="20" customFormat="false" ht="15" hidden="false" customHeight="false" outlineLevel="0" collapsed="false">
      <c r="A20" s="3" t="s">
        <v>38</v>
      </c>
      <c r="B20" s="3" t="s">
        <v>39</v>
      </c>
      <c r="C20" s="4" t="n">
        <v>5.562</v>
      </c>
      <c r="D20" s="4" t="n">
        <v>-3.068</v>
      </c>
      <c r="E20" s="4" t="n">
        <v>-0.214</v>
      </c>
      <c r="F20" s="4" t="n">
        <v>-19.154</v>
      </c>
      <c r="G20" s="4" t="n">
        <v>-14.264</v>
      </c>
    </row>
    <row r="21" customFormat="false" ht="15" hidden="false" customHeight="false" outlineLevel="0" collapsed="false">
      <c r="A21" s="1" t="s">
        <v>40</v>
      </c>
    </row>
    <row r="22" customFormat="false" ht="15" hidden="false" customHeight="false" outlineLevel="0" collapsed="false">
      <c r="A22" s="3" t="s">
        <v>41</v>
      </c>
      <c r="B22" s="3" t="s">
        <v>42</v>
      </c>
      <c r="C22" s="4" t="n">
        <v>11.085</v>
      </c>
      <c r="D22" s="4" t="n">
        <v>10.708</v>
      </c>
      <c r="E22" s="4" t="n">
        <v>10.959</v>
      </c>
      <c r="F22" s="4" t="n">
        <v>9.447</v>
      </c>
      <c r="G22" s="4" t="n">
        <v>12.715</v>
      </c>
    </row>
    <row r="23" customFormat="false" ht="15" hidden="false" customHeight="false" outlineLevel="0" collapsed="false">
      <c r="A23" s="3" t="s">
        <v>43</v>
      </c>
      <c r="B23" s="3" t="s">
        <v>44</v>
      </c>
      <c r="C23" s="4" t="n">
        <v>12.665</v>
      </c>
      <c r="D23" s="4" t="n">
        <v>-0.123</v>
      </c>
      <c r="E23" s="4" t="n">
        <v>-9.901</v>
      </c>
      <c r="F23" s="4" t="n">
        <v>-5.998</v>
      </c>
      <c r="G23" s="4" t="n">
        <v>-8.483</v>
      </c>
    </row>
    <row r="24" customFormat="false" ht="15" hidden="false" customHeight="false" outlineLevel="0" collapsed="false">
      <c r="A24" s="3" t="s">
        <v>45</v>
      </c>
      <c r="B24" s="3" t="s">
        <v>46</v>
      </c>
      <c r="C24" s="4" t="n">
        <v>-84.866</v>
      </c>
      <c r="D24" s="4" t="n">
        <v>-89.402</v>
      </c>
      <c r="E24" s="4" t="n">
        <v>-77.55</v>
      </c>
      <c r="F24" s="4" t="n">
        <v>-94.949</v>
      </c>
      <c r="G24" s="4" t="n">
        <v>-90.711</v>
      </c>
    </row>
    <row r="25" customFormat="false" ht="15" hidden="false" customHeight="false" outlineLevel="0" collapsed="false">
      <c r="A25" s="1" t="s">
        <v>47</v>
      </c>
    </row>
    <row r="26" customFormat="false" ht="15" hidden="false" customHeight="false" outlineLevel="0" collapsed="false">
      <c r="A26" s="3" t="s">
        <v>48</v>
      </c>
      <c r="B26" s="3" t="s">
        <v>49</v>
      </c>
      <c r="C26" s="4" t="n">
        <v>102.599</v>
      </c>
    </row>
    <row r="27" customFormat="false" ht="15" hidden="false" customHeight="false" outlineLevel="0" collapsed="false">
      <c r="A27" s="3" t="s">
        <v>50</v>
      </c>
      <c r="B27" s="3" t="s">
        <v>51</v>
      </c>
      <c r="C27" s="4" t="n">
        <v>123.857</v>
      </c>
    </row>
    <row r="28" customFormat="false" ht="15" hidden="false" customHeight="false" outlineLevel="0" collapsed="false">
      <c r="A28" s="3" t="s">
        <v>52</v>
      </c>
      <c r="B28" s="3" t="s">
        <v>53</v>
      </c>
      <c r="C28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B9F"/>
    <pageSetUpPr fitToPage="false"/>
  </sheetPr>
  <dimension ref="A1:S2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"/>
    <col collapsed="false" customWidth="true" hidden="false" outlineLevel="0" max="19" min="4" style="0" width="14"/>
  </cols>
  <sheetData>
    <row r="1" customFormat="false" ht="15" hidden="false" customHeight="true" outlineLevel="0" collapsed="false">
      <c r="A1" s="5" t="s">
        <v>54</v>
      </c>
      <c r="B1" s="5"/>
      <c r="C1" s="5"/>
      <c r="D1" s="6" t="s">
        <v>55</v>
      </c>
      <c r="E1" s="6"/>
      <c r="F1" s="6"/>
      <c r="G1" s="6"/>
      <c r="H1" s="6"/>
      <c r="I1" s="7" t="s">
        <v>56</v>
      </c>
      <c r="J1" s="7"/>
      <c r="K1" s="7"/>
      <c r="L1" s="7"/>
      <c r="M1" s="7"/>
      <c r="N1" s="7"/>
      <c r="O1" s="7"/>
      <c r="P1" s="7"/>
      <c r="Q1" s="7"/>
      <c r="R1" s="7"/>
      <c r="S1" s="8"/>
    </row>
    <row r="2" customFormat="false" ht="15" hidden="false" customHeight="false" outlineLevel="0" collapsed="false">
      <c r="A2" s="5"/>
      <c r="B2" s="5"/>
      <c r="C2" s="5"/>
      <c r="D2" s="9" t="s">
        <v>57</v>
      </c>
      <c r="E2" s="9" t="s">
        <v>58</v>
      </c>
      <c r="F2" s="9" t="s">
        <v>59</v>
      </c>
      <c r="G2" s="9" t="s">
        <v>60</v>
      </c>
      <c r="H2" s="9" t="s">
        <v>61</v>
      </c>
      <c r="I2" s="10" t="s">
        <v>62</v>
      </c>
      <c r="J2" s="10" t="s">
        <v>63</v>
      </c>
      <c r="K2" s="10" t="s">
        <v>64</v>
      </c>
      <c r="L2" s="10" t="s">
        <v>65</v>
      </c>
      <c r="M2" s="10" t="s">
        <v>66</v>
      </c>
      <c r="N2" s="10" t="s">
        <v>67</v>
      </c>
      <c r="O2" s="10" t="s">
        <v>68</v>
      </c>
      <c r="P2" s="10" t="s">
        <v>69</v>
      </c>
      <c r="Q2" s="10" t="s">
        <v>70</v>
      </c>
      <c r="R2" s="10" t="s">
        <v>71</v>
      </c>
      <c r="S2" s="8"/>
    </row>
    <row r="3" customFormat="false" ht="15" hidden="false" customHeight="false" outlineLevel="0" collapsed="false">
      <c r="A3" s="11" t="s">
        <v>72</v>
      </c>
      <c r="D3" s="12" t="str">
        <f aca="false">IF(ABS(D60)&lt;0.005,"OK","ERROR")</f>
        <v>OK</v>
      </c>
      <c r="E3" s="12" t="str">
        <f aca="false">IF(ABS(E60)&lt;0.005,"OK","ERROR")</f>
        <v>OK</v>
      </c>
      <c r="F3" s="12" t="str">
        <f aca="false">IF(ABS(F60)&lt;0.005,"OK","ERROR")</f>
        <v>OK</v>
      </c>
      <c r="G3" s="12" t="str">
        <f aca="false">IF(ABS(G60)&lt;0.005,"OK","ERROR")</f>
        <v>OK</v>
      </c>
      <c r="H3" s="12" t="str">
        <f aca="false">IF(ABS(H60)&lt;0.005,"OK","ERROR")</f>
        <v>OK</v>
      </c>
      <c r="I3" s="12" t="str">
        <f aca="false">IF(ABS(I60)&lt;0.005,"OK","ERROR")</f>
        <v>OK</v>
      </c>
      <c r="J3" s="12" t="str">
        <f aca="false">IF(ABS(J60)&lt;0.005,"OK","ERROR")</f>
        <v>OK</v>
      </c>
      <c r="K3" s="12" t="str">
        <f aca="false">IF(ABS(K60)&lt;0.005,"OK","ERROR")</f>
        <v>OK</v>
      </c>
      <c r="L3" s="12" t="str">
        <f aca="false">IF(ABS(L60)&lt;0.005,"OK","ERROR")</f>
        <v>OK</v>
      </c>
      <c r="M3" s="12" t="str">
        <f aca="false">IF(ABS(M60)&lt;0.005,"OK","ERROR")</f>
        <v>OK</v>
      </c>
      <c r="N3" s="12" t="str">
        <f aca="false">IF(ABS(N60)&lt;0.005,"OK","ERROR")</f>
        <v>OK</v>
      </c>
      <c r="O3" s="12" t="str">
        <f aca="false">IF(ABS(O60)&lt;0.005,"OK","ERROR")</f>
        <v>OK</v>
      </c>
      <c r="P3" s="12" t="str">
        <f aca="false">IF(ABS(P60)&lt;0.005,"OK","ERROR")</f>
        <v>OK</v>
      </c>
      <c r="Q3" s="12" t="str">
        <f aca="false">IF(ABS(Q60)&lt;0.005,"OK","ERROR")</f>
        <v>OK</v>
      </c>
      <c r="R3" s="12" t="str">
        <f aca="false">IF(ABS(R60)&lt;0.005,"OK","ERROR")</f>
        <v>OK</v>
      </c>
    </row>
    <row r="4" customFormat="false" ht="15" hidden="false" customHeight="false" outlineLevel="0" collapsed="false">
      <c r="A4" s="13" t="s">
        <v>73</v>
      </c>
      <c r="E4" s="14" t="s">
        <v>74</v>
      </c>
    </row>
    <row r="5" customFormat="false" ht="16.15" hidden="false" customHeight="false" outlineLevel="0" collapsed="false">
      <c r="A5" s="15" t="s">
        <v>75</v>
      </c>
      <c r="B5" s="16"/>
      <c r="C5" s="16"/>
      <c r="D5" s="16"/>
      <c r="E5" s="17" t="s">
        <v>76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7" customFormat="false" ht="15" hidden="false" customHeight="false" outlineLevel="0" collapsed="false">
      <c r="A7" s="18" t="s">
        <v>77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</row>
    <row r="8" customFormat="false" ht="15" hidden="false" customHeight="false" outlineLevel="0" collapsed="false">
      <c r="A8" s="3" t="s">
        <v>78</v>
      </c>
      <c r="E8" s="20" t="n">
        <f aca="false">E26/D26-1</f>
        <v>0.0779378760418459</v>
      </c>
      <c r="F8" s="20" t="n">
        <f aca="false">F26/E26-1</f>
        <v>-0.0280046053031993</v>
      </c>
      <c r="G8" s="20" t="n">
        <f aca="false">G26/F26-1</f>
        <v>0.0202199407751411</v>
      </c>
      <c r="H8" s="20" t="n">
        <f aca="false">H26/G26-1</f>
        <v>0.0642551178283273</v>
      </c>
      <c r="I8" s="21" t="n">
        <v>0.06</v>
      </c>
      <c r="J8" s="21" t="n">
        <v>0.058</v>
      </c>
      <c r="K8" s="21" t="n">
        <v>0.055</v>
      </c>
      <c r="L8" s="21" t="n">
        <v>0.052</v>
      </c>
      <c r="M8" s="21" t="n">
        <v>0.05</v>
      </c>
      <c r="N8" s="21" t="n">
        <v>0.048</v>
      </c>
      <c r="O8" s="21" t="n">
        <v>0.047</v>
      </c>
      <c r="P8" s="21" t="n">
        <v>0.045</v>
      </c>
      <c r="Q8" s="21" t="n">
        <v>0.044</v>
      </c>
      <c r="R8" s="21" t="n">
        <v>0.043</v>
      </c>
    </row>
    <row r="9" customFormat="false" ht="15" hidden="false" customHeight="false" outlineLevel="0" collapsed="false">
      <c r="A9" s="3" t="s">
        <v>79</v>
      </c>
      <c r="D9" s="20" t="n">
        <f aca="false">D27/D26</f>
        <v>0.582206403748322</v>
      </c>
      <c r="E9" s="20" t="n">
        <f aca="false">E27/E26</f>
        <v>0.566903694386399</v>
      </c>
      <c r="F9" s="20" t="n">
        <f aca="false">F27/F26</f>
        <v>0.558688704227924</v>
      </c>
      <c r="G9" s="20" t="n">
        <f aca="false">G27/G26</f>
        <v>0.537936501847661</v>
      </c>
      <c r="H9" s="20" t="n">
        <f aca="false">H27/H26</f>
        <v>0.530948358928396</v>
      </c>
      <c r="I9" s="21" t="n">
        <v>0.533</v>
      </c>
      <c r="J9" s="21" t="n">
        <v>0.5335</v>
      </c>
      <c r="K9" s="21" t="n">
        <v>0.531</v>
      </c>
      <c r="L9" s="21" t="n">
        <v>0.5285</v>
      </c>
      <c r="M9" s="21" t="n">
        <v>0.526</v>
      </c>
      <c r="N9" s="21" t="n">
        <v>0.524</v>
      </c>
      <c r="O9" s="21" t="n">
        <v>0.522</v>
      </c>
      <c r="P9" s="21" t="n">
        <v>0.52</v>
      </c>
      <c r="Q9" s="21" t="n">
        <v>0.518</v>
      </c>
      <c r="R9" s="21" t="n">
        <v>0.516</v>
      </c>
    </row>
    <row r="10" customFormat="false" ht="15" hidden="false" customHeight="false" outlineLevel="0" collapsed="false">
      <c r="A10" s="3" t="s">
        <v>80</v>
      </c>
      <c r="D10" s="20" t="n">
        <f aca="false">D30/D26</f>
        <v>0.0445020324369835</v>
      </c>
      <c r="E10" s="20" t="n">
        <f aca="false">E30/E26</f>
        <v>0.0521745856241505</v>
      </c>
      <c r="F10" s="20" t="n">
        <f aca="false">F30/F26</f>
        <v>0.0616569915337151</v>
      </c>
      <c r="G10" s="20" t="n">
        <f aca="false">G30/G26</f>
        <v>0.0642459114912987</v>
      </c>
      <c r="H10" s="20" t="n">
        <f aca="false">H30/H26</f>
        <v>0.0673945900745144</v>
      </c>
      <c r="I10" s="21" t="n">
        <v>0.0656</v>
      </c>
      <c r="J10" s="21" t="n">
        <v>0.0656</v>
      </c>
      <c r="K10" s="21" t="n">
        <v>0.065</v>
      </c>
      <c r="L10" s="21" t="n">
        <v>0.065</v>
      </c>
      <c r="M10" s="21" t="n">
        <v>0.0645</v>
      </c>
      <c r="N10" s="21" t="n">
        <v>0.0645</v>
      </c>
      <c r="O10" s="21" t="n">
        <v>0.064</v>
      </c>
      <c r="P10" s="21" t="n">
        <v>0.064</v>
      </c>
      <c r="Q10" s="21" t="n">
        <v>0.0634</v>
      </c>
      <c r="R10" s="21" t="n">
        <v>0.0634</v>
      </c>
    </row>
    <row r="11" customFormat="false" ht="15" hidden="false" customHeight="false" outlineLevel="0" collapsed="false">
      <c r="A11" s="3" t="s">
        <v>81</v>
      </c>
      <c r="D11" s="22" t="n">
        <f aca="false">D31</f>
        <v>16.3234</v>
      </c>
      <c r="E11" s="22" t="n">
        <f aca="false">E31</f>
        <v>19.6671</v>
      </c>
      <c r="F11" s="22" t="n">
        <f aca="false">F31</f>
        <v>19.6958</v>
      </c>
      <c r="G11" s="22" t="n">
        <f aca="false">G31</f>
        <v>20.8996</v>
      </c>
      <c r="H11" s="22" t="n">
        <f aca="false">H31</f>
        <v>22.406</v>
      </c>
      <c r="I11" s="4" t="n">
        <v>23.12</v>
      </c>
      <c r="J11" s="4" t="n">
        <v>24.46</v>
      </c>
      <c r="K11" s="4" t="n">
        <v>25.58</v>
      </c>
      <c r="L11" s="4" t="n">
        <v>26.91</v>
      </c>
      <c r="M11" s="4" t="n">
        <v>28.01</v>
      </c>
      <c r="N11" s="4" t="n">
        <v>29.35</v>
      </c>
      <c r="O11" s="4" t="n">
        <v>30.49</v>
      </c>
      <c r="P11" s="4" t="n">
        <v>31.87</v>
      </c>
      <c r="Q11" s="4" t="n">
        <v>32.97</v>
      </c>
      <c r="R11" s="4" t="n">
        <v>34.39</v>
      </c>
    </row>
    <row r="12" customFormat="false" ht="15" hidden="false" customHeight="false" outlineLevel="0" collapsed="false">
      <c r="A12" s="3" t="s">
        <v>82</v>
      </c>
      <c r="D12" s="20" t="n">
        <f aca="false">D32/D96</f>
        <v>0.109981578767824</v>
      </c>
      <c r="E12" s="20" t="n">
        <f aca="false">E32/E96</f>
        <v>0.1084375</v>
      </c>
      <c r="F12" s="20" t="n">
        <f aca="false">F32/F96</f>
        <v>0.11292694404141</v>
      </c>
      <c r="G12" s="20" t="n">
        <f aca="false">G32/G96</f>
        <v>0.112820866685068</v>
      </c>
      <c r="H12" s="20" t="n">
        <f aca="false">H32/H96</f>
        <v>0.117631679504455</v>
      </c>
      <c r="I12" s="21" t="n">
        <v>0.079</v>
      </c>
      <c r="J12" s="21" t="n">
        <v>0.079</v>
      </c>
      <c r="K12" s="21" t="n">
        <v>0.079</v>
      </c>
      <c r="L12" s="21" t="n">
        <v>0.079</v>
      </c>
      <c r="M12" s="21" t="n">
        <v>0.079</v>
      </c>
      <c r="N12" s="21" t="n">
        <v>0.079</v>
      </c>
      <c r="O12" s="21" t="n">
        <v>0.079</v>
      </c>
      <c r="P12" s="21" t="n">
        <v>0.079</v>
      </c>
      <c r="Q12" s="21" t="n">
        <v>0.079</v>
      </c>
      <c r="R12" s="21" t="n">
        <v>0.079</v>
      </c>
    </row>
    <row r="13" customFormat="false" ht="15" hidden="false" customHeight="false" outlineLevel="0" collapsed="false">
      <c r="A13" s="3" t="s">
        <v>83</v>
      </c>
      <c r="D13" s="20" t="n">
        <f aca="false">D33/AVERAGE(D102,D104)</f>
        <v>0.0203165385841408</v>
      </c>
      <c r="E13" s="20" t="n">
        <f aca="false">E33/AVERAGE(E102,E104)</f>
        <v>0.0214787429329366</v>
      </c>
      <c r="F13" s="20" t="n">
        <f aca="false">F33/AVERAGE(F102,F104)</f>
        <v>0.0299204631471641</v>
      </c>
      <c r="G13" s="20" t="n">
        <f aca="false">G33/AVERAGE(G102,G104)</f>
        <v>0.0305945797131961</v>
      </c>
      <c r="H13" s="20" t="n">
        <f aca="false">H33/AVERAGE(H102,H104)</f>
        <v>0.0306764666669534</v>
      </c>
      <c r="I13" s="21" t="n">
        <v>0.03</v>
      </c>
      <c r="J13" s="21" t="n">
        <v>0.03</v>
      </c>
      <c r="K13" s="21" t="n">
        <v>0.03</v>
      </c>
      <c r="L13" s="21" t="n">
        <v>0.03</v>
      </c>
      <c r="M13" s="21" t="n">
        <v>0.03</v>
      </c>
      <c r="N13" s="21" t="n">
        <v>0.03</v>
      </c>
      <c r="O13" s="21" t="n">
        <v>0.03</v>
      </c>
      <c r="P13" s="21" t="n">
        <v>0.03</v>
      </c>
      <c r="Q13" s="21" t="n">
        <v>0.03</v>
      </c>
      <c r="R13" s="21" t="n">
        <v>0.03</v>
      </c>
    </row>
    <row r="14" customFormat="false" ht="15" hidden="false" customHeight="false" outlineLevel="0" collapsed="false">
      <c r="A14" s="3" t="s">
        <v>84</v>
      </c>
      <c r="D14" s="20" t="n">
        <f aca="false">IF(D35=0,0,D37/D35)</f>
        <v>0.136655252859723</v>
      </c>
      <c r="E14" s="20" t="n">
        <f aca="false">IF(E35=0,0,E37/E35)</f>
        <v>0.16565670437574</v>
      </c>
      <c r="F14" s="20" t="n">
        <f aca="false">IF(F35=0,0,F37/F35)</f>
        <v>0.151683458973616</v>
      </c>
      <c r="G14" s="20" t="n">
        <f aca="false">IF(G35=0,0,G37/G35)</f>
        <v>0.249075667963857</v>
      </c>
      <c r="H14" s="20" t="n">
        <f aca="false">IF(H35=0,0,H37/H35)</f>
        <v>0.160012542128887</v>
      </c>
      <c r="I14" s="21" t="n">
        <v>0.17</v>
      </c>
      <c r="J14" s="21" t="n">
        <v>0.17</v>
      </c>
      <c r="K14" s="21" t="n">
        <v>0.17</v>
      </c>
      <c r="L14" s="21" t="n">
        <v>0.17</v>
      </c>
      <c r="M14" s="21" t="n">
        <v>0.17</v>
      </c>
      <c r="N14" s="21" t="n">
        <v>0.17</v>
      </c>
      <c r="O14" s="21" t="n">
        <v>0.17</v>
      </c>
      <c r="P14" s="21" t="n">
        <v>0.17</v>
      </c>
      <c r="Q14" s="21" t="n">
        <v>0.17</v>
      </c>
      <c r="R14" s="21" t="n">
        <v>0.17</v>
      </c>
    </row>
    <row r="15" customFormat="false" ht="15" hidden="false" customHeight="false" outlineLevel="0" collapsed="false">
      <c r="A15" s="3" t="s">
        <v>85</v>
      </c>
      <c r="D15" s="23" t="n">
        <f aca="false">D45/D26*D21</f>
        <v>51.3909687083979</v>
      </c>
      <c r="E15" s="23" t="n">
        <f aca="false">E45/E26*E21</f>
        <v>56.4002049055609</v>
      </c>
      <c r="F15" s="23" t="n">
        <f aca="false">F45/F26*F21</f>
        <v>58.0756486687452</v>
      </c>
      <c r="G15" s="23" t="n">
        <f aca="false">G45/G26*G21</f>
        <v>61.8325597452913</v>
      </c>
      <c r="H15" s="23" t="n">
        <f aca="false">H45/H26*H21</f>
        <v>63.9879878220208</v>
      </c>
      <c r="I15" s="24" t="n">
        <v>58</v>
      </c>
      <c r="J15" s="24" t="n">
        <v>58</v>
      </c>
      <c r="K15" s="24" t="n">
        <v>58</v>
      </c>
      <c r="L15" s="24" t="n">
        <v>58</v>
      </c>
      <c r="M15" s="24" t="n">
        <v>58</v>
      </c>
      <c r="N15" s="24" t="n">
        <v>58</v>
      </c>
      <c r="O15" s="24" t="n">
        <v>58</v>
      </c>
      <c r="P15" s="24" t="n">
        <v>58</v>
      </c>
      <c r="Q15" s="24" t="n">
        <v>58</v>
      </c>
      <c r="R15" s="24" t="n">
        <v>58</v>
      </c>
    </row>
    <row r="16" customFormat="false" ht="15" hidden="false" customHeight="false" outlineLevel="0" collapsed="false">
      <c r="A16" s="3" t="s">
        <v>86</v>
      </c>
      <c r="D16" s="23" t="n">
        <f aca="false">D46/D27*D21</f>
        <v>11.2765927477099</v>
      </c>
      <c r="E16" s="23" t="n">
        <f aca="false">E46/E27*E21</f>
        <v>8.07569806661716</v>
      </c>
      <c r="F16" s="23" t="n">
        <f aca="false">F46/F27*F21</f>
        <v>10.7912924903216</v>
      </c>
      <c r="G16" s="23" t="n">
        <f aca="false">G46/G27*G21</f>
        <v>12.6425705484141</v>
      </c>
      <c r="H16" s="23" t="n">
        <f aca="false">H46/H27*H21</f>
        <v>9.44546524257784</v>
      </c>
      <c r="I16" s="24" t="n">
        <v>10</v>
      </c>
      <c r="J16" s="24" t="n">
        <v>10</v>
      </c>
      <c r="K16" s="24" t="n">
        <v>10</v>
      </c>
      <c r="L16" s="24" t="n">
        <v>10</v>
      </c>
      <c r="M16" s="24" t="n">
        <v>10</v>
      </c>
      <c r="N16" s="24" t="n">
        <v>10</v>
      </c>
      <c r="O16" s="24" t="n">
        <v>10</v>
      </c>
      <c r="P16" s="24" t="n">
        <v>10</v>
      </c>
      <c r="Q16" s="24" t="n">
        <v>10</v>
      </c>
      <c r="R16" s="24" t="n">
        <v>10</v>
      </c>
    </row>
    <row r="17" customFormat="false" ht="15" hidden="false" customHeight="false" outlineLevel="0" collapsed="false">
      <c r="A17" s="3" t="s">
        <v>87</v>
      </c>
      <c r="D17" s="23" t="n">
        <f aca="false">D51/D27*D21</f>
        <v>259.447321592067</v>
      </c>
      <c r="E17" s="23" t="n">
        <f aca="false">E51/E27*E21</f>
        <v>276.923295429129</v>
      </c>
      <c r="F17" s="23" t="n">
        <f aca="false">F51/F27*F21</f>
        <v>283.813890173113</v>
      </c>
      <c r="G17" s="23" t="n">
        <f aca="false">G51/G27*G21</f>
        <v>327.89997242717</v>
      </c>
      <c r="H17" s="23" t="n">
        <f aca="false">H51/H27*H21</f>
        <v>285.992102643012</v>
      </c>
      <c r="I17" s="24" t="n">
        <v>287</v>
      </c>
      <c r="J17" s="24" t="n">
        <v>287</v>
      </c>
      <c r="K17" s="24" t="n">
        <v>287</v>
      </c>
      <c r="L17" s="24" t="n">
        <v>287</v>
      </c>
      <c r="M17" s="24" t="n">
        <v>287</v>
      </c>
      <c r="N17" s="24" t="n">
        <v>287</v>
      </c>
      <c r="O17" s="24" t="n">
        <v>287</v>
      </c>
      <c r="P17" s="24" t="n">
        <v>287</v>
      </c>
      <c r="Q17" s="24" t="n">
        <v>287</v>
      </c>
      <c r="R17" s="24" t="n">
        <v>287</v>
      </c>
    </row>
    <row r="18" customFormat="false" ht="15" hidden="false" customHeight="false" outlineLevel="0" collapsed="false">
      <c r="A18" s="3" t="s">
        <v>88</v>
      </c>
      <c r="D18" s="22" t="n">
        <f aca="false">D97</f>
        <v>11.085</v>
      </c>
      <c r="E18" s="22" t="n">
        <f aca="false">E97</f>
        <v>10.708</v>
      </c>
      <c r="F18" s="22" t="n">
        <f aca="false">F97</f>
        <v>10.959</v>
      </c>
      <c r="G18" s="22" t="n">
        <f aca="false">G97</f>
        <v>9.447</v>
      </c>
      <c r="H18" s="22" t="n">
        <f aca="false">H97</f>
        <v>12.715</v>
      </c>
      <c r="I18" s="4" t="n">
        <v>13</v>
      </c>
      <c r="J18" s="4" t="n">
        <v>13.5</v>
      </c>
      <c r="K18" s="4" t="n">
        <v>14</v>
      </c>
      <c r="L18" s="4" t="n">
        <v>14.5</v>
      </c>
      <c r="M18" s="4" t="n">
        <v>15</v>
      </c>
      <c r="N18" s="4" t="n">
        <v>15</v>
      </c>
      <c r="O18" s="4" t="n">
        <v>15</v>
      </c>
      <c r="P18" s="4" t="n">
        <v>15</v>
      </c>
      <c r="Q18" s="4" t="n">
        <v>15</v>
      </c>
      <c r="R18" s="4" t="n">
        <v>15</v>
      </c>
    </row>
    <row r="19" customFormat="false" ht="15" hidden="false" customHeight="false" outlineLevel="0" collapsed="false">
      <c r="A19" s="3" t="s">
        <v>89</v>
      </c>
      <c r="D19" s="22" t="n">
        <f aca="false">D103</f>
        <v>12.665</v>
      </c>
      <c r="E19" s="22" t="n">
        <f aca="false">E103</f>
        <v>-0.123</v>
      </c>
      <c r="F19" s="22" t="n">
        <f aca="false">F103</f>
        <v>-9.901</v>
      </c>
      <c r="G19" s="22" t="n">
        <f aca="false">G103</f>
        <v>-5.998</v>
      </c>
      <c r="H19" s="22" t="n">
        <f aca="false">H103</f>
        <v>-8.483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</row>
    <row r="20" customFormat="false" ht="15" hidden="false" customHeight="false" outlineLevel="0" collapsed="false">
      <c r="A20" s="3" t="s">
        <v>90</v>
      </c>
      <c r="D20" s="22" t="n">
        <f aca="false">D77</f>
        <v>0</v>
      </c>
      <c r="E20" s="22" t="n">
        <f aca="false">E77</f>
        <v>-89.402</v>
      </c>
      <c r="F20" s="22" t="n">
        <f aca="false">F77</f>
        <v>-77.55</v>
      </c>
      <c r="G20" s="22" t="n">
        <f aca="false">G77</f>
        <v>-94.949</v>
      </c>
      <c r="H20" s="22" t="n">
        <f aca="false">H77</f>
        <v>-90.711</v>
      </c>
      <c r="I20" s="4" t="n">
        <v>-105</v>
      </c>
      <c r="J20" s="4" t="n">
        <v>-105</v>
      </c>
      <c r="K20" s="4" t="n">
        <v>-105</v>
      </c>
      <c r="L20" s="4" t="n">
        <v>-105</v>
      </c>
      <c r="M20" s="4" t="n">
        <v>-105</v>
      </c>
      <c r="N20" s="4" t="n">
        <v>-105</v>
      </c>
      <c r="O20" s="4" t="n">
        <v>-105</v>
      </c>
      <c r="P20" s="4" t="n">
        <v>-105</v>
      </c>
      <c r="Q20" s="4" t="n">
        <v>-105</v>
      </c>
      <c r="R20" s="4" t="n">
        <v>-105</v>
      </c>
    </row>
    <row r="21" customFormat="false" ht="15" hidden="false" customHeight="false" outlineLevel="0" collapsed="false">
      <c r="A21" s="3" t="s">
        <v>91</v>
      </c>
      <c r="D21" s="23" t="n">
        <v>365</v>
      </c>
      <c r="E21" s="23" t="n">
        <v>365</v>
      </c>
      <c r="F21" s="23" t="n">
        <v>365</v>
      </c>
      <c r="G21" s="23" t="n">
        <v>365</v>
      </c>
      <c r="H21" s="23" t="n">
        <v>365</v>
      </c>
      <c r="I21" s="24" t="n">
        <v>365</v>
      </c>
      <c r="J21" s="24" t="n">
        <v>365</v>
      </c>
      <c r="K21" s="24" t="n">
        <v>365</v>
      </c>
      <c r="L21" s="24" t="n">
        <v>365</v>
      </c>
      <c r="M21" s="24" t="n">
        <v>365</v>
      </c>
      <c r="N21" s="24" t="n">
        <v>365</v>
      </c>
      <c r="O21" s="24" t="n">
        <v>365</v>
      </c>
      <c r="P21" s="24" t="n">
        <v>365</v>
      </c>
      <c r="Q21" s="24" t="n">
        <v>365</v>
      </c>
      <c r="R21" s="24" t="n">
        <v>365</v>
      </c>
    </row>
    <row r="24" customFormat="false" ht="16.15" hidden="false" customHeight="false" outlineLevel="0" collapsed="false">
      <c r="A24" s="15" t="s">
        <v>92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6" customFormat="false" ht="15" hidden="false" customHeight="false" outlineLevel="0" collapsed="false">
      <c r="A26" s="2" t="s">
        <v>10</v>
      </c>
      <c r="D26" s="4" t="n">
        <f aca="false">Data_Input!C5</f>
        <v>365.817</v>
      </c>
      <c r="E26" s="4" t="n">
        <f aca="false">Data_Input!D5</f>
        <v>394.328</v>
      </c>
      <c r="F26" s="4" t="n">
        <f aca="false">Data_Input!E5</f>
        <v>383.285</v>
      </c>
      <c r="G26" s="4" t="n">
        <f aca="false">Data_Input!F5</f>
        <v>391.035</v>
      </c>
      <c r="H26" s="4" t="n">
        <f aca="false">Data_Input!G5</f>
        <v>416.161</v>
      </c>
      <c r="I26" s="25" t="n">
        <f aca="false">H26*(1+I8)</f>
        <v>441.13066</v>
      </c>
      <c r="J26" s="25" t="n">
        <f aca="false">I26*(1+J8)</f>
        <v>466.71623828</v>
      </c>
      <c r="K26" s="25" t="n">
        <f aca="false">J26*(1+K8)</f>
        <v>492.3856313854</v>
      </c>
      <c r="L26" s="25" t="n">
        <f aca="false">K26*(1+L8)</f>
        <v>517.989684217441</v>
      </c>
      <c r="M26" s="25" t="n">
        <f aca="false">L26*(1+M8)</f>
        <v>543.889168428313</v>
      </c>
      <c r="N26" s="25" t="n">
        <f aca="false">M26*(1+N8)</f>
        <v>569.995848512872</v>
      </c>
      <c r="O26" s="25" t="n">
        <f aca="false">N26*(1+O8)</f>
        <v>596.785653392977</v>
      </c>
      <c r="P26" s="25" t="n">
        <f aca="false">O26*(1+P8)</f>
        <v>623.641007795661</v>
      </c>
      <c r="Q26" s="25" t="n">
        <f aca="false">P26*(1+Q8)</f>
        <v>651.08121213867</v>
      </c>
      <c r="R26" s="25" t="n">
        <f aca="false">Q26*(1+R8)</f>
        <v>679.077704260633</v>
      </c>
    </row>
    <row r="27" customFormat="false" ht="15" hidden="false" customHeight="false" outlineLevel="0" collapsed="false">
      <c r="A27" s="3" t="s">
        <v>93</v>
      </c>
      <c r="D27" s="4" t="n">
        <f aca="false">Data_Input!C6</f>
        <v>212.981</v>
      </c>
      <c r="E27" s="4" t="n">
        <f aca="false">Data_Input!D6</f>
        <v>223.546</v>
      </c>
      <c r="F27" s="4" t="n">
        <f aca="false">Data_Input!E6</f>
        <v>214.137</v>
      </c>
      <c r="G27" s="4" t="n">
        <f aca="false">Data_Input!F6</f>
        <v>210.352</v>
      </c>
      <c r="H27" s="4" t="n">
        <f aca="false">Data_Input!G6</f>
        <v>220.96</v>
      </c>
      <c r="I27" s="22" t="n">
        <f aca="false">I26*I9</f>
        <v>235.12264178</v>
      </c>
      <c r="J27" s="22" t="n">
        <f aca="false">J26*J9</f>
        <v>248.99311312238</v>
      </c>
      <c r="K27" s="22" t="n">
        <f aca="false">K26*K9</f>
        <v>261.456770265647</v>
      </c>
      <c r="L27" s="22" t="n">
        <f aca="false">L26*L9</f>
        <v>273.757548108918</v>
      </c>
      <c r="M27" s="22" t="n">
        <f aca="false">M26*M9</f>
        <v>286.085702593293</v>
      </c>
      <c r="N27" s="22" t="n">
        <f aca="false">N26*N9</f>
        <v>298.677824620745</v>
      </c>
      <c r="O27" s="22" t="n">
        <f aca="false">O26*O9</f>
        <v>311.522111071134</v>
      </c>
      <c r="P27" s="22" t="n">
        <f aca="false">P26*P9</f>
        <v>324.293324053744</v>
      </c>
      <c r="Q27" s="22" t="n">
        <f aca="false">Q26*Q9</f>
        <v>337.260067887831</v>
      </c>
      <c r="R27" s="22" t="n">
        <f aca="false">R26*R9</f>
        <v>350.404095398486</v>
      </c>
    </row>
    <row r="28" customFormat="false" ht="15" hidden="false" customHeight="false" outlineLevel="0" collapsed="false">
      <c r="A28" s="2" t="s">
        <v>94</v>
      </c>
      <c r="D28" s="25" t="n">
        <f aca="false">D26-D27</f>
        <v>152.836</v>
      </c>
      <c r="E28" s="25" t="n">
        <f aca="false">E26-E27</f>
        <v>170.782</v>
      </c>
      <c r="F28" s="25" t="n">
        <f aca="false">F26-F27</f>
        <v>169.148</v>
      </c>
      <c r="G28" s="25" t="n">
        <f aca="false">G26-G27</f>
        <v>180.683</v>
      </c>
      <c r="H28" s="25" t="n">
        <f aca="false">H26-H27</f>
        <v>195.201</v>
      </c>
      <c r="I28" s="25" t="n">
        <f aca="false">I26-I27</f>
        <v>206.00801822</v>
      </c>
      <c r="J28" s="25" t="n">
        <f aca="false">J26-J27</f>
        <v>217.72312515762</v>
      </c>
      <c r="K28" s="25" t="n">
        <f aca="false">K26-K27</f>
        <v>230.928861119753</v>
      </c>
      <c r="L28" s="25" t="n">
        <f aca="false">L26-L27</f>
        <v>244.232136108523</v>
      </c>
      <c r="M28" s="25" t="n">
        <f aca="false">M26-M27</f>
        <v>257.80346583502</v>
      </c>
      <c r="N28" s="25" t="n">
        <f aca="false">N26-N27</f>
        <v>271.318023892127</v>
      </c>
      <c r="O28" s="25" t="n">
        <f aca="false">O26-O27</f>
        <v>285.263542321843</v>
      </c>
      <c r="P28" s="25" t="n">
        <f aca="false">P26-P27</f>
        <v>299.347683741917</v>
      </c>
      <c r="Q28" s="25" t="n">
        <f aca="false">Q26-Q27</f>
        <v>313.821144250839</v>
      </c>
      <c r="R28" s="25" t="n">
        <f aca="false">R26-R27</f>
        <v>328.673608862146</v>
      </c>
    </row>
    <row r="29" customFormat="false" ht="15" hidden="false" customHeight="false" outlineLevel="0" collapsed="false">
      <c r="A29" s="2" t="s">
        <v>95</v>
      </c>
    </row>
    <row r="30" customFormat="false" ht="15" hidden="false" customHeight="false" outlineLevel="0" collapsed="false">
      <c r="A30" s="3" t="s">
        <v>96</v>
      </c>
      <c r="D30" s="4" t="n">
        <f aca="false">Data_Input!C7</f>
        <v>16.2796</v>
      </c>
      <c r="E30" s="4" t="n">
        <f aca="false">Data_Input!D7</f>
        <v>20.5739</v>
      </c>
      <c r="F30" s="4" t="n">
        <f aca="false">Data_Input!E7</f>
        <v>23.6322</v>
      </c>
      <c r="G30" s="4" t="n">
        <f aca="false">Data_Input!F7</f>
        <v>25.1224</v>
      </c>
      <c r="H30" s="4" t="n">
        <f aca="false">Data_Input!G7</f>
        <v>28.047</v>
      </c>
      <c r="I30" s="22" t="n">
        <f aca="false">I26*I10</f>
        <v>28.938171296</v>
      </c>
      <c r="J30" s="22" t="n">
        <f aca="false">J26*J10</f>
        <v>30.616585231168</v>
      </c>
      <c r="K30" s="22" t="n">
        <f aca="false">K26*K10</f>
        <v>32.005066040051</v>
      </c>
      <c r="L30" s="22" t="n">
        <f aca="false">L26*L10</f>
        <v>33.6693294741337</v>
      </c>
      <c r="M30" s="22" t="n">
        <f aca="false">M26*M10</f>
        <v>35.0808513636262</v>
      </c>
      <c r="N30" s="22" t="n">
        <f aca="false">N26*N10</f>
        <v>36.7647322290802</v>
      </c>
      <c r="O30" s="22" t="n">
        <f aca="false">O26*O10</f>
        <v>38.1942818171505</v>
      </c>
      <c r="P30" s="22" t="n">
        <f aca="false">P26*P10</f>
        <v>39.9130244989223</v>
      </c>
      <c r="Q30" s="22" t="n">
        <f aca="false">Q26*Q10</f>
        <v>41.2785488495917</v>
      </c>
      <c r="R30" s="22" t="n">
        <f aca="false">R26*R10</f>
        <v>43.0535264501241</v>
      </c>
    </row>
    <row r="31" customFormat="false" ht="15" hidden="false" customHeight="false" outlineLevel="0" collapsed="false">
      <c r="A31" s="3" t="s">
        <v>97</v>
      </c>
      <c r="D31" s="4" t="n">
        <f aca="false">Data_Input!C8</f>
        <v>16.3234</v>
      </c>
      <c r="E31" s="4" t="n">
        <f aca="false">Data_Input!D8</f>
        <v>19.6671</v>
      </c>
      <c r="F31" s="4" t="n">
        <f aca="false">Data_Input!E8</f>
        <v>19.6958</v>
      </c>
      <c r="G31" s="4" t="n">
        <f aca="false">Data_Input!F8</f>
        <v>20.8996</v>
      </c>
      <c r="H31" s="4" t="n">
        <f aca="false">Data_Input!G8</f>
        <v>22.406</v>
      </c>
      <c r="I31" s="22" t="n">
        <f aca="false">I11</f>
        <v>23.12</v>
      </c>
      <c r="J31" s="22" t="n">
        <f aca="false">J11</f>
        <v>24.46</v>
      </c>
      <c r="K31" s="22" t="n">
        <f aca="false">K11</f>
        <v>25.58</v>
      </c>
      <c r="L31" s="22" t="n">
        <f aca="false">L11</f>
        <v>26.91</v>
      </c>
      <c r="M31" s="22" t="n">
        <f aca="false">M11</f>
        <v>28.01</v>
      </c>
      <c r="N31" s="22" t="n">
        <f aca="false">N11</f>
        <v>29.35</v>
      </c>
      <c r="O31" s="22" t="n">
        <f aca="false">O11</f>
        <v>30.49</v>
      </c>
      <c r="P31" s="22" t="n">
        <f aca="false">P11</f>
        <v>31.87</v>
      </c>
      <c r="Q31" s="22" t="n">
        <f aca="false">Q11</f>
        <v>32.97</v>
      </c>
      <c r="R31" s="22" t="n">
        <f aca="false">R11</f>
        <v>34.39</v>
      </c>
    </row>
    <row r="32" customFormat="false" ht="15" hidden="false" customHeight="false" outlineLevel="0" collapsed="false">
      <c r="A32" s="3" t="s">
        <v>98</v>
      </c>
      <c r="D32" s="4" t="n">
        <f aca="false">Data_Input!C9</f>
        <v>11.284</v>
      </c>
      <c r="E32" s="4" t="n">
        <f aca="false">Data_Input!D9</f>
        <v>11.104</v>
      </c>
      <c r="F32" s="4" t="n">
        <f aca="false">Data_Input!E9</f>
        <v>11.519</v>
      </c>
      <c r="G32" s="4" t="n">
        <f aca="false">Data_Input!F9</f>
        <v>11.445</v>
      </c>
      <c r="H32" s="4" t="n">
        <f aca="false">Data_Input!G9</f>
        <v>11.698</v>
      </c>
      <c r="I32" s="22" t="n">
        <f aca="false">I12*I96</f>
        <v>11.703534</v>
      </c>
      <c r="J32" s="22" t="n">
        <f aca="false">J12*J96</f>
        <v>11.805954814</v>
      </c>
      <c r="K32" s="22" t="n">
        <f aca="false">K12*K96</f>
        <v>11.939784383694</v>
      </c>
      <c r="L32" s="22" t="n">
        <f aca="false">L12*L96</f>
        <v>12.1025414173822</v>
      </c>
      <c r="M32" s="22" t="n">
        <f aca="false">M12*M96</f>
        <v>12.291940645409</v>
      </c>
      <c r="N32" s="22" t="n">
        <f aca="false">N12*N96</f>
        <v>12.5058773344217</v>
      </c>
      <c r="O32" s="22" t="n">
        <f aca="false">O12*O96</f>
        <v>12.7029130250024</v>
      </c>
      <c r="P32" s="22" t="n">
        <f aca="false">P12*P96</f>
        <v>12.8843828960272</v>
      </c>
      <c r="Q32" s="22" t="n">
        <f aca="false">Q12*Q96</f>
        <v>13.051516647241</v>
      </c>
      <c r="R32" s="22" t="n">
        <f aca="false">R12*R96</f>
        <v>13.205446832109</v>
      </c>
    </row>
    <row r="33" customFormat="false" ht="15" hidden="false" customHeight="false" outlineLevel="0" collapsed="false">
      <c r="A33" s="3" t="s">
        <v>20</v>
      </c>
      <c r="D33" s="4" t="n">
        <f aca="false">Data_Input!C10</f>
        <v>2.645</v>
      </c>
      <c r="E33" s="4" t="n">
        <f aca="false">Data_Input!D10</f>
        <v>2.931</v>
      </c>
      <c r="F33" s="4" t="n">
        <f aca="false">Data_Input!E10</f>
        <v>3.933</v>
      </c>
      <c r="G33" s="4" t="n">
        <f aca="false">Data_Input!F10</f>
        <v>3.7784</v>
      </c>
      <c r="H33" s="4" t="n">
        <f aca="false">Data_Input!G10</f>
        <v>3.5664</v>
      </c>
      <c r="I33" s="22" t="n">
        <f aca="false">I13*AVERAGE(I102,I104)</f>
        <v>3.37131</v>
      </c>
      <c r="J33" s="22" t="n">
        <f aca="false">J13*AVERAGE(J102,J104)</f>
        <v>3.37131</v>
      </c>
      <c r="K33" s="22" t="n">
        <f aca="false">K13*AVERAGE(K102,K104)</f>
        <v>3.37131</v>
      </c>
      <c r="L33" s="22" t="n">
        <f aca="false">L13*AVERAGE(L102,L104)</f>
        <v>3.37131</v>
      </c>
      <c r="M33" s="22" t="n">
        <f aca="false">M13*AVERAGE(M102,M104)</f>
        <v>3.37131</v>
      </c>
      <c r="N33" s="22" t="n">
        <f aca="false">N13*AVERAGE(N102,N104)</f>
        <v>3.37131</v>
      </c>
      <c r="O33" s="22" t="n">
        <f aca="false">O13*AVERAGE(O102,O104)</f>
        <v>3.37131</v>
      </c>
      <c r="P33" s="22" t="n">
        <f aca="false">P13*AVERAGE(P102,P104)</f>
        <v>3.37131</v>
      </c>
      <c r="Q33" s="22" t="n">
        <f aca="false">Q13*AVERAGE(Q102,Q104)</f>
        <v>3.37131</v>
      </c>
      <c r="R33" s="22" t="n">
        <f aca="false">R13*AVERAGE(R102,R104)</f>
        <v>3.37131</v>
      </c>
    </row>
    <row r="34" customFormat="false" ht="15" hidden="false" customHeight="false" outlineLevel="0" collapsed="false">
      <c r="A34" s="2" t="s">
        <v>99</v>
      </c>
      <c r="D34" s="26" t="n">
        <f aca="false">SUM(D30:D33)</f>
        <v>46.532</v>
      </c>
      <c r="E34" s="26" t="n">
        <f aca="false">SUM(E30:E33)</f>
        <v>54.276</v>
      </c>
      <c r="F34" s="26" t="n">
        <f aca="false">SUM(F30:F33)</f>
        <v>58.78</v>
      </c>
      <c r="G34" s="26" t="n">
        <f aca="false">SUM(G30:G33)</f>
        <v>61.2454</v>
      </c>
      <c r="H34" s="26" t="n">
        <f aca="false">SUM(H30:H33)</f>
        <v>65.7174</v>
      </c>
      <c r="I34" s="26" t="n">
        <f aca="false">SUM(I30:I33)</f>
        <v>67.133015296</v>
      </c>
      <c r="J34" s="26" t="n">
        <f aca="false">SUM(J30:J33)</f>
        <v>70.253850045168</v>
      </c>
      <c r="K34" s="26" t="n">
        <f aca="false">SUM(K30:K33)</f>
        <v>72.896160423745</v>
      </c>
      <c r="L34" s="26" t="n">
        <f aca="false">SUM(L30:L33)</f>
        <v>76.0531808915158</v>
      </c>
      <c r="M34" s="26" t="n">
        <f aca="false">SUM(M30:M33)</f>
        <v>78.7541020090352</v>
      </c>
      <c r="N34" s="26" t="n">
        <f aca="false">SUM(N30:N33)</f>
        <v>81.9919195635019</v>
      </c>
      <c r="O34" s="26" t="n">
        <f aca="false">SUM(O30:O33)</f>
        <v>84.7585048421529</v>
      </c>
      <c r="P34" s="26" t="n">
        <f aca="false">SUM(P30:P33)</f>
        <v>88.0387173949495</v>
      </c>
      <c r="Q34" s="26" t="n">
        <f aca="false">SUM(Q30:Q33)</f>
        <v>90.6713754968327</v>
      </c>
      <c r="R34" s="26" t="n">
        <f aca="false">SUM(R30:R33)</f>
        <v>94.0202832822331</v>
      </c>
    </row>
    <row r="35" customFormat="false" ht="15" hidden="false" customHeight="false" outlineLevel="0" collapsed="false">
      <c r="A35" s="2" t="s">
        <v>100</v>
      </c>
      <c r="D35" s="25" t="n">
        <f aca="false">D28-D34</f>
        <v>106.304</v>
      </c>
      <c r="E35" s="25" t="n">
        <f aca="false">E28-E34</f>
        <v>116.506</v>
      </c>
      <c r="F35" s="25" t="n">
        <f aca="false">F28-F34</f>
        <v>110.368</v>
      </c>
      <c r="G35" s="25" t="n">
        <f aca="false">G28-G34</f>
        <v>119.4376</v>
      </c>
      <c r="H35" s="25" t="n">
        <f aca="false">H28-H34</f>
        <v>129.4836</v>
      </c>
      <c r="I35" s="25" t="n">
        <f aca="false">I28-I34</f>
        <v>138.875002924</v>
      </c>
      <c r="J35" s="25" t="n">
        <f aca="false">J28-J34</f>
        <v>147.469275112452</v>
      </c>
      <c r="K35" s="25" t="n">
        <f aca="false">K28-K34</f>
        <v>158.032700696008</v>
      </c>
      <c r="L35" s="25" t="n">
        <f aca="false">L28-L34</f>
        <v>168.178955217008</v>
      </c>
      <c r="M35" s="25" t="n">
        <f aca="false">M28-M34</f>
        <v>179.049363825985</v>
      </c>
      <c r="N35" s="25" t="n">
        <f aca="false">N28-N34</f>
        <v>189.326104328625</v>
      </c>
      <c r="O35" s="25" t="n">
        <f aca="false">O28-O34</f>
        <v>200.50503747969</v>
      </c>
      <c r="P35" s="25" t="n">
        <f aca="false">P28-P34</f>
        <v>211.308966346968</v>
      </c>
      <c r="Q35" s="25" t="n">
        <f aca="false">Q28-Q34</f>
        <v>223.149768754006</v>
      </c>
      <c r="R35" s="25" t="n">
        <f aca="false">R28-R34</f>
        <v>234.653325579913</v>
      </c>
    </row>
    <row r="37" customFormat="false" ht="15" hidden="false" customHeight="false" outlineLevel="0" collapsed="false">
      <c r="A37" s="3" t="s">
        <v>22</v>
      </c>
      <c r="D37" s="4" t="n">
        <f aca="false">Data_Input!C11</f>
        <v>14.527</v>
      </c>
      <c r="E37" s="4" t="n">
        <f aca="false">Data_Input!D11</f>
        <v>19.3</v>
      </c>
      <c r="F37" s="4" t="n">
        <f aca="false">Data_Input!E11</f>
        <v>16.741</v>
      </c>
      <c r="G37" s="4" t="n">
        <f aca="false">Data_Input!F11</f>
        <v>29.749</v>
      </c>
      <c r="H37" s="4" t="n">
        <f aca="false">Data_Input!G11</f>
        <v>20.719</v>
      </c>
      <c r="I37" s="22" t="n">
        <f aca="false">MAX(I35-I109,0)*I14</f>
        <v>23.60875049708</v>
      </c>
      <c r="J37" s="22" t="n">
        <f aca="false">MAX(J35-J109,0)*J14</f>
        <v>25.0697767691169</v>
      </c>
      <c r="K37" s="22" t="n">
        <f aca="false">MAX(K35-K109,0)*K14</f>
        <v>26.8655591183213</v>
      </c>
      <c r="L37" s="22" t="n">
        <f aca="false">MAX(L35-L109,0)*L14</f>
        <v>28.5904223868913</v>
      </c>
      <c r="M37" s="22" t="n">
        <f aca="false">MAX(M35-M109,0)*M14</f>
        <v>30.4383918504175</v>
      </c>
      <c r="N37" s="22" t="n">
        <f aca="false">MAX(N35-N109,0)*N14</f>
        <v>32.1854377358663</v>
      </c>
      <c r="O37" s="22" t="n">
        <f aca="false">MAX(O35-O109,0)*O14</f>
        <v>34.0858563715473</v>
      </c>
      <c r="P37" s="22" t="n">
        <f aca="false">MAX(P35-P109,0)*P14</f>
        <v>35.9225242789845</v>
      </c>
      <c r="Q37" s="22" t="n">
        <f aca="false">MAX(Q35-Q109,0)*Q14</f>
        <v>37.9354606881811</v>
      </c>
      <c r="R37" s="22" t="n">
        <f aca="false">MAX(R35-R109,0)*R14</f>
        <v>39.8910653485852</v>
      </c>
    </row>
    <row r="38" customFormat="false" ht="15" hidden="false" customHeight="false" outlineLevel="0" collapsed="false">
      <c r="A38" s="2" t="s">
        <v>101</v>
      </c>
      <c r="D38" s="27" t="n">
        <f aca="false">D35-D37</f>
        <v>91.777</v>
      </c>
      <c r="E38" s="27" t="n">
        <f aca="false">E35-E37</f>
        <v>97.206</v>
      </c>
      <c r="F38" s="27" t="n">
        <f aca="false">F35-F37</f>
        <v>93.627</v>
      </c>
      <c r="G38" s="27" t="n">
        <f aca="false">G35-G37</f>
        <v>89.6886</v>
      </c>
      <c r="H38" s="27" t="n">
        <f aca="false">H35-H37</f>
        <v>108.7646</v>
      </c>
      <c r="I38" s="27" t="n">
        <f aca="false">I35-I37</f>
        <v>115.26625242692</v>
      </c>
      <c r="J38" s="27" t="n">
        <f aca="false">J35-J37</f>
        <v>122.399498343335</v>
      </c>
      <c r="K38" s="27" t="n">
        <f aca="false">K35-K37</f>
        <v>131.167141577686</v>
      </c>
      <c r="L38" s="27" t="n">
        <f aca="false">L35-L37</f>
        <v>139.588532830116</v>
      </c>
      <c r="M38" s="27" t="n">
        <f aca="false">M35-M37</f>
        <v>148.610971975568</v>
      </c>
      <c r="N38" s="27" t="n">
        <f aca="false">N35-N37</f>
        <v>157.140666592759</v>
      </c>
      <c r="O38" s="27" t="n">
        <f aca="false">O35-O37</f>
        <v>166.419181108143</v>
      </c>
      <c r="P38" s="27" t="n">
        <f aca="false">P35-P37</f>
        <v>175.386442067983</v>
      </c>
      <c r="Q38" s="27" t="n">
        <f aca="false">Q35-Q37</f>
        <v>185.214308065825</v>
      </c>
      <c r="R38" s="27" t="n">
        <f aca="false">R35-R37</f>
        <v>194.762260231328</v>
      </c>
    </row>
    <row r="41" customFormat="false" ht="16.15" hidden="false" customHeight="false" outlineLevel="0" collapsed="false">
      <c r="A41" s="15" t="s">
        <v>102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3" customFormat="false" ht="15" hidden="false" customHeight="false" outlineLevel="0" collapsed="false">
      <c r="A43" s="2" t="s">
        <v>103</v>
      </c>
    </row>
    <row r="44" customFormat="false" ht="15" hidden="false" customHeight="false" outlineLevel="0" collapsed="false">
      <c r="A44" s="3" t="s">
        <v>25</v>
      </c>
      <c r="D44" s="4" t="n">
        <f aca="false">Data_Input!C13</f>
        <v>190.516</v>
      </c>
      <c r="E44" s="4" t="n">
        <f aca="false">Data_Input!D13</f>
        <v>169.109</v>
      </c>
      <c r="F44" s="4" t="n">
        <f aca="false">Data_Input!E13</f>
        <v>162.099</v>
      </c>
      <c r="G44" s="4" t="n">
        <f aca="false">Data_Input!F13</f>
        <v>156.65</v>
      </c>
      <c r="H44" s="4" t="n">
        <f aca="false">Data_Input!G13</f>
        <v>132.42</v>
      </c>
      <c r="I44" s="22" t="n">
        <f aca="false">I82</f>
        <v>155.271850791468</v>
      </c>
      <c r="J44" s="22" t="n">
        <f aca="false">J82</f>
        <v>177.438008117568</v>
      </c>
      <c r="K44" s="22" t="n">
        <f aca="false">K82</f>
        <v>206.924682650378</v>
      </c>
      <c r="L44" s="22" t="n">
        <f aca="false">L82</f>
        <v>244.38227853713</v>
      </c>
      <c r="M44" s="22" t="n">
        <f aca="false">M82</f>
        <v>290.525543782603</v>
      </c>
      <c r="N44" s="22" t="n">
        <f aca="false">N82</f>
        <v>345.579842111701</v>
      </c>
      <c r="O44" s="22" t="n">
        <f aca="false">O82</f>
        <v>410.192507926248</v>
      </c>
      <c r="P44" s="22" t="n">
        <f aca="false">P82</f>
        <v>483.888032728142</v>
      </c>
      <c r="Q44" s="22" t="n">
        <f aca="false">Q82</f>
        <v>567.634011386818</v>
      </c>
      <c r="R44" s="22" t="n">
        <f aca="false">R82</f>
        <v>661.128017292385</v>
      </c>
    </row>
    <row r="45" customFormat="false" ht="15" hidden="false" customHeight="false" outlineLevel="0" collapsed="false">
      <c r="A45" s="3" t="s">
        <v>27</v>
      </c>
      <c r="D45" s="4" t="n">
        <f aca="false">Data_Input!C14</f>
        <v>51.506</v>
      </c>
      <c r="E45" s="4" t="n">
        <f aca="false">Data_Input!D14</f>
        <v>60.932</v>
      </c>
      <c r="F45" s="4" t="n">
        <f aca="false">Data_Input!E14</f>
        <v>60.985</v>
      </c>
      <c r="G45" s="4" t="n">
        <f aca="false">Data_Input!F14</f>
        <v>66.243</v>
      </c>
      <c r="H45" s="4" t="n">
        <f aca="false">Data_Input!G14</f>
        <v>72.957</v>
      </c>
      <c r="I45" s="22" t="n">
        <f aca="false">I15/I21*I26</f>
        <v>70.097474739726</v>
      </c>
      <c r="J45" s="22" t="n">
        <f aca="false">J15/J21*J26</f>
        <v>74.1631282746302</v>
      </c>
      <c r="K45" s="22" t="n">
        <f aca="false">K15/K21*K26</f>
        <v>78.2421003297348</v>
      </c>
      <c r="L45" s="22" t="n">
        <f aca="false">L15/L21*L26</f>
        <v>82.310689546881</v>
      </c>
      <c r="M45" s="22" t="n">
        <f aca="false">M15/M21*M26</f>
        <v>86.4262240242251</v>
      </c>
      <c r="N45" s="22" t="n">
        <f aca="false">N15/N21*N26</f>
        <v>90.5746827773879</v>
      </c>
      <c r="O45" s="22" t="n">
        <f aca="false">O15/O21*O26</f>
        <v>94.8316928679251</v>
      </c>
      <c r="P45" s="22" t="n">
        <f aca="false">P15/P21*P26</f>
        <v>99.0991190469817</v>
      </c>
      <c r="Q45" s="22" t="n">
        <f aca="false">Q15/Q21*Q26</f>
        <v>103.459480285049</v>
      </c>
      <c r="R45" s="22" t="n">
        <f aca="false">R15/R21*R26</f>
        <v>107.908237937306</v>
      </c>
    </row>
    <row r="46" customFormat="false" ht="15" hidden="false" customHeight="false" outlineLevel="0" collapsed="false">
      <c r="A46" s="3" t="s">
        <v>29</v>
      </c>
      <c r="D46" s="4" t="n">
        <f aca="false">Data_Input!C15</f>
        <v>6.58</v>
      </c>
      <c r="E46" s="4" t="n">
        <f aca="false">Data_Input!D15</f>
        <v>4.946</v>
      </c>
      <c r="F46" s="4" t="n">
        <f aca="false">Data_Input!E15</f>
        <v>6.331</v>
      </c>
      <c r="G46" s="4" t="n">
        <f aca="false">Data_Input!F15</f>
        <v>7.286</v>
      </c>
      <c r="H46" s="4" t="n">
        <f aca="false">Data_Input!G15</f>
        <v>5.718</v>
      </c>
      <c r="I46" s="22" t="n">
        <f aca="false">I16/I21*I27</f>
        <v>6.44171621315069</v>
      </c>
      <c r="J46" s="22" t="n">
        <f aca="false">J16/J21*J27</f>
        <v>6.82172912664055</v>
      </c>
      <c r="K46" s="22" t="n">
        <f aca="false">K16/K21*K27</f>
        <v>7.1631991853602</v>
      </c>
      <c r="L46" s="22" t="n">
        <f aca="false">L16/L21*L27</f>
        <v>7.50020679750459</v>
      </c>
      <c r="M46" s="22" t="n">
        <f aca="false">M16/M21*M27</f>
        <v>7.83796445461076</v>
      </c>
      <c r="N46" s="22" t="n">
        <f aca="false">N16/N21*N27</f>
        <v>8.18295409919849</v>
      </c>
      <c r="O46" s="22" t="n">
        <f aca="false">O16/O21*O27</f>
        <v>8.53485235811326</v>
      </c>
      <c r="P46" s="22" t="n">
        <f aca="false">P16/P21*P27</f>
        <v>8.88474860421215</v>
      </c>
      <c r="Q46" s="22" t="n">
        <f aca="false">Q16/Q21*Q27</f>
        <v>9.24000185994058</v>
      </c>
      <c r="R46" s="22" t="n">
        <f aca="false">R16/R21*R27</f>
        <v>9.60011220269826</v>
      </c>
    </row>
    <row r="47" customFormat="false" ht="15" hidden="false" customHeight="false" outlineLevel="0" collapsed="false">
      <c r="A47" s="3" t="s">
        <v>104</v>
      </c>
      <c r="D47" s="4" t="n">
        <f aca="false">Data_Input!C16</f>
        <v>102.4</v>
      </c>
      <c r="E47" s="4" t="n">
        <f aca="false">Data_Input!D16</f>
        <v>117.768</v>
      </c>
      <c r="F47" s="4" t="n">
        <f aca="false">Data_Input!E16</f>
        <v>123.168</v>
      </c>
      <c r="G47" s="4" t="n">
        <f aca="false">Data_Input!F16</f>
        <v>134.801</v>
      </c>
      <c r="H47" s="4" t="n">
        <f aca="false">Data_Input!G16</f>
        <v>148.146</v>
      </c>
      <c r="I47" s="22" t="n">
        <f aca="false">I99</f>
        <v>149.442466</v>
      </c>
      <c r="J47" s="22" t="n">
        <f aca="false">J99</f>
        <v>151.136511186</v>
      </c>
      <c r="K47" s="22" t="n">
        <f aca="false">K99</f>
        <v>153.196726802306</v>
      </c>
      <c r="L47" s="22" t="n">
        <f aca="false">L99</f>
        <v>155.594185384924</v>
      </c>
      <c r="M47" s="22" t="n">
        <f aca="false">M99</f>
        <v>158.302244739515</v>
      </c>
      <c r="N47" s="22" t="n">
        <f aca="false">N99</f>
        <v>160.796367405093</v>
      </c>
      <c r="O47" s="22" t="n">
        <f aca="false">O99</f>
        <v>163.093454380091</v>
      </c>
      <c r="P47" s="22" t="n">
        <f aca="false">P99</f>
        <v>165.209071484064</v>
      </c>
      <c r="Q47" s="22" t="n">
        <f aca="false">Q99</f>
        <v>167.157554836823</v>
      </c>
      <c r="R47" s="22" t="n">
        <f aca="false">R99</f>
        <v>168.952108004714</v>
      </c>
    </row>
    <row r="48" customFormat="false" ht="15" hidden="false" customHeight="false" outlineLevel="0" collapsed="false">
      <c r="A48" s="2" t="s">
        <v>105</v>
      </c>
      <c r="D48" s="26" t="n">
        <f aca="false">SUM(D44:D47)</f>
        <v>351.002</v>
      </c>
      <c r="E48" s="26" t="n">
        <f aca="false">SUM(E44:E47)</f>
        <v>352.755</v>
      </c>
      <c r="F48" s="26" t="n">
        <f aca="false">SUM(F44:F47)</f>
        <v>352.583</v>
      </c>
      <c r="G48" s="26" t="n">
        <f aca="false">SUM(G44:G47)</f>
        <v>364.98</v>
      </c>
      <c r="H48" s="26" t="n">
        <f aca="false">SUM(H44:H47)</f>
        <v>359.241</v>
      </c>
      <c r="I48" s="26" t="n">
        <f aca="false">SUM(I44:I47)</f>
        <v>381.253507744345</v>
      </c>
      <c r="J48" s="26" t="n">
        <f aca="false">SUM(J44:J47)</f>
        <v>409.559376704839</v>
      </c>
      <c r="K48" s="26" t="n">
        <f aca="false">SUM(K44:K47)</f>
        <v>445.526708967779</v>
      </c>
      <c r="L48" s="26" t="n">
        <f aca="false">SUM(L44:L47)</f>
        <v>489.787360266439</v>
      </c>
      <c r="M48" s="26" t="n">
        <f aca="false">SUM(M44:M47)</f>
        <v>543.091977000954</v>
      </c>
      <c r="N48" s="26" t="n">
        <f aca="false">SUM(N44:N47)</f>
        <v>605.133846393381</v>
      </c>
      <c r="O48" s="26" t="n">
        <f aca="false">SUM(O44:O47)</f>
        <v>676.652507532378</v>
      </c>
      <c r="P48" s="26" t="n">
        <f aca="false">SUM(P44:P47)</f>
        <v>757.080971863399</v>
      </c>
      <c r="Q48" s="26" t="n">
        <f aca="false">SUM(Q44:Q47)</f>
        <v>847.49104836863</v>
      </c>
      <c r="R48" s="26" t="n">
        <f aca="false">SUM(R44:R47)</f>
        <v>947.588475437103</v>
      </c>
    </row>
    <row r="50" customFormat="false" ht="15" hidden="false" customHeight="false" outlineLevel="0" collapsed="false">
      <c r="A50" s="2" t="s">
        <v>106</v>
      </c>
    </row>
    <row r="51" customFormat="false" ht="15" hidden="false" customHeight="false" outlineLevel="0" collapsed="false">
      <c r="A51" s="3" t="s">
        <v>33</v>
      </c>
      <c r="D51" s="4" t="n">
        <f aca="false">Data_Input!C17</f>
        <v>151.39</v>
      </c>
      <c r="E51" s="4" t="n">
        <f aca="false">Data_Input!D17</f>
        <v>169.603</v>
      </c>
      <c r="F51" s="4" t="n">
        <f aca="false">Data_Input!E17</f>
        <v>166.507</v>
      </c>
      <c r="G51" s="4" t="n">
        <f aca="false">Data_Input!F17</f>
        <v>188.971</v>
      </c>
      <c r="H51" s="4" t="n">
        <f aca="false">Data_Input!G17</f>
        <v>173.131</v>
      </c>
      <c r="I51" s="22" t="n">
        <f aca="false">I17/I21*I27</f>
        <v>184.877255317425</v>
      </c>
      <c r="J51" s="22" t="n">
        <f aca="false">J17/J21*J27</f>
        <v>195.783625934584</v>
      </c>
      <c r="K51" s="22" t="n">
        <f aca="false">K17/K21*K27</f>
        <v>205.583816619838</v>
      </c>
      <c r="L51" s="22" t="n">
        <f aca="false">L17/L21*L27</f>
        <v>215.255935088382</v>
      </c>
      <c r="M51" s="22" t="n">
        <f aca="false">M17/M21*M27</f>
        <v>224.949579847329</v>
      </c>
      <c r="N51" s="22" t="n">
        <f aca="false">N17/N21*N27</f>
        <v>234.850782646997</v>
      </c>
      <c r="O51" s="22" t="n">
        <f aca="false">O17/O21*O27</f>
        <v>244.950262677851</v>
      </c>
      <c r="P51" s="22" t="n">
        <f aca="false">P17/P21*P27</f>
        <v>254.992284940889</v>
      </c>
      <c r="Q51" s="22" t="n">
        <f aca="false">Q17/Q21*Q27</f>
        <v>265.188053380295</v>
      </c>
      <c r="R51" s="22" t="n">
        <f aca="false">R17/R21*R27</f>
        <v>275.52322021744</v>
      </c>
    </row>
    <row r="52" customFormat="false" ht="15" hidden="false" customHeight="false" outlineLevel="0" collapsed="false">
      <c r="A52" s="3" t="s">
        <v>35</v>
      </c>
      <c r="D52" s="4" t="n">
        <f aca="false">Data_Input!C18</f>
        <v>136.522</v>
      </c>
      <c r="E52" s="4" t="n">
        <f aca="false">Data_Input!D18</f>
        <v>132.48</v>
      </c>
      <c r="F52" s="4" t="n">
        <f aca="false">Data_Input!E18</f>
        <v>123.93</v>
      </c>
      <c r="G52" s="4" t="n">
        <f aca="false">Data_Input!F18</f>
        <v>119.059</v>
      </c>
      <c r="H52" s="4" t="n">
        <f aca="false">Data_Input!G18</f>
        <v>112.377</v>
      </c>
      <c r="I52" s="22" t="n">
        <f aca="false">I104</f>
        <v>112.377</v>
      </c>
      <c r="J52" s="22" t="n">
        <f aca="false">J104</f>
        <v>112.377</v>
      </c>
      <c r="K52" s="22" t="n">
        <f aca="false">K104</f>
        <v>112.377</v>
      </c>
      <c r="L52" s="22" t="n">
        <f aca="false">L104</f>
        <v>112.377</v>
      </c>
      <c r="M52" s="22" t="n">
        <f aca="false">M104</f>
        <v>112.377</v>
      </c>
      <c r="N52" s="22" t="n">
        <f aca="false">N104</f>
        <v>112.377</v>
      </c>
      <c r="O52" s="22" t="n">
        <f aca="false">O104</f>
        <v>112.377</v>
      </c>
      <c r="P52" s="22" t="n">
        <f aca="false">P104</f>
        <v>112.377</v>
      </c>
      <c r="Q52" s="22" t="n">
        <f aca="false">Q104</f>
        <v>112.377</v>
      </c>
      <c r="R52" s="22" t="n">
        <f aca="false">R104</f>
        <v>112.377</v>
      </c>
    </row>
    <row r="53" customFormat="false" ht="15" hidden="false" customHeight="false" outlineLevel="0" collapsed="false">
      <c r="A53" s="2" t="s">
        <v>107</v>
      </c>
      <c r="D53" s="26" t="n">
        <f aca="false">D51+D52</f>
        <v>287.912</v>
      </c>
      <c r="E53" s="26" t="n">
        <f aca="false">E51+E52</f>
        <v>302.083</v>
      </c>
      <c r="F53" s="26" t="n">
        <f aca="false">F51+F52</f>
        <v>290.437</v>
      </c>
      <c r="G53" s="26" t="n">
        <f aca="false">G51+G52</f>
        <v>308.03</v>
      </c>
      <c r="H53" s="26" t="n">
        <f aca="false">H51+H52</f>
        <v>285.508</v>
      </c>
      <c r="I53" s="26" t="n">
        <f aca="false">I51+I52</f>
        <v>297.254255317425</v>
      </c>
      <c r="J53" s="26" t="n">
        <f aca="false">J51+J52</f>
        <v>308.160625934584</v>
      </c>
      <c r="K53" s="26" t="n">
        <f aca="false">K51+K52</f>
        <v>317.960816619838</v>
      </c>
      <c r="L53" s="26" t="n">
        <f aca="false">L51+L52</f>
        <v>327.632935088382</v>
      </c>
      <c r="M53" s="26" t="n">
        <f aca="false">M51+M52</f>
        <v>337.326579847329</v>
      </c>
      <c r="N53" s="26" t="n">
        <f aca="false">N51+N52</f>
        <v>347.227782646997</v>
      </c>
      <c r="O53" s="26" t="n">
        <f aca="false">O51+O52</f>
        <v>357.327262677851</v>
      </c>
      <c r="P53" s="26" t="n">
        <f aca="false">P51+P52</f>
        <v>367.369284940889</v>
      </c>
      <c r="Q53" s="26" t="n">
        <f aca="false">Q51+Q52</f>
        <v>377.565053380295</v>
      </c>
      <c r="R53" s="26" t="n">
        <f aca="false">R51+R52</f>
        <v>387.90022021744</v>
      </c>
    </row>
    <row r="54" customFormat="false" ht="15" hidden="false" customHeight="false" outlineLevel="0" collapsed="false">
      <c r="A54" s="2" t="s">
        <v>108</v>
      </c>
    </row>
    <row r="55" customFormat="false" ht="15" hidden="false" customHeight="false" outlineLevel="0" collapsed="false">
      <c r="A55" s="3" t="s">
        <v>37</v>
      </c>
      <c r="D55" s="4" t="n">
        <f aca="false">Data_Input!C19</f>
        <v>57.528</v>
      </c>
      <c r="E55" s="4" t="n">
        <f aca="false">Data_Input!D19</f>
        <v>53.74</v>
      </c>
      <c r="F55" s="4" t="n">
        <f aca="false">Data_Input!E19</f>
        <v>62.36</v>
      </c>
      <c r="G55" s="4" t="n">
        <f aca="false">Data_Input!F19</f>
        <v>76.104</v>
      </c>
      <c r="H55" s="4" t="n">
        <f aca="false">Data_Input!G19</f>
        <v>87.997</v>
      </c>
      <c r="I55" s="22" t="n">
        <f aca="false">H55+I20</f>
        <v>-17.003</v>
      </c>
      <c r="J55" s="22" t="n">
        <f aca="false">I55+J20</f>
        <v>-122.003</v>
      </c>
      <c r="K55" s="22" t="n">
        <f aca="false">J55+K20</f>
        <v>-227.003</v>
      </c>
      <c r="L55" s="22" t="n">
        <f aca="false">K55+L20</f>
        <v>-332.003</v>
      </c>
      <c r="M55" s="22" t="n">
        <f aca="false">L55+M20</f>
        <v>-437.003</v>
      </c>
      <c r="N55" s="22" t="n">
        <f aca="false">M55+N20</f>
        <v>-542.003</v>
      </c>
      <c r="O55" s="22" t="n">
        <f aca="false">N55+O20</f>
        <v>-647.003</v>
      </c>
      <c r="P55" s="22" t="n">
        <f aca="false">O55+P20</f>
        <v>-752.003</v>
      </c>
      <c r="Q55" s="22" t="n">
        <f aca="false">P55+Q20</f>
        <v>-857.003</v>
      </c>
      <c r="R55" s="22" t="n">
        <f aca="false">Q55+R20</f>
        <v>-962.003</v>
      </c>
    </row>
    <row r="56" customFormat="false" ht="15" hidden="false" customHeight="false" outlineLevel="0" collapsed="false">
      <c r="A56" s="3" t="s">
        <v>39</v>
      </c>
      <c r="D56" s="4" t="n">
        <f aca="false">Data_Input!C20</f>
        <v>5.562</v>
      </c>
      <c r="E56" s="4" t="n">
        <f aca="false">Data_Input!D20</f>
        <v>-3.068</v>
      </c>
      <c r="F56" s="4" t="n">
        <f aca="false">Data_Input!E20</f>
        <v>-0.214</v>
      </c>
      <c r="G56" s="4" t="n">
        <f aca="false">Data_Input!F20</f>
        <v>-19.154</v>
      </c>
      <c r="H56" s="4" t="n">
        <f aca="false">Data_Input!G20</f>
        <v>-14.264</v>
      </c>
      <c r="I56" s="22" t="n">
        <f aca="false">H56+I38</f>
        <v>101.00225242692</v>
      </c>
      <c r="J56" s="22" t="n">
        <f aca="false">I56+J38</f>
        <v>223.401750770255</v>
      </c>
      <c r="K56" s="22" t="n">
        <f aca="false">J56+K38</f>
        <v>354.568892347942</v>
      </c>
      <c r="L56" s="22" t="n">
        <f aca="false">K56+L38</f>
        <v>494.157425178058</v>
      </c>
      <c r="M56" s="22" t="n">
        <f aca="false">L56+M38</f>
        <v>642.768397153625</v>
      </c>
      <c r="N56" s="22" t="n">
        <f aca="false">M56+N38</f>
        <v>799.909063746384</v>
      </c>
      <c r="O56" s="22" t="n">
        <f aca="false">N56+O38</f>
        <v>966.328244854527</v>
      </c>
      <c r="P56" s="22" t="n">
        <f aca="false">O56+P38</f>
        <v>1141.71468692251</v>
      </c>
      <c r="Q56" s="22" t="n">
        <f aca="false">P56+Q38</f>
        <v>1326.92899498834</v>
      </c>
      <c r="R56" s="22" t="n">
        <f aca="false">Q56+R38</f>
        <v>1521.69125521966</v>
      </c>
    </row>
    <row r="57" customFormat="false" ht="15" hidden="false" customHeight="false" outlineLevel="0" collapsed="false">
      <c r="A57" s="2" t="s">
        <v>108</v>
      </c>
      <c r="D57" s="26" t="n">
        <f aca="false">D55+D56</f>
        <v>63.09</v>
      </c>
      <c r="E57" s="26" t="n">
        <f aca="false">E55+E56</f>
        <v>50.672</v>
      </c>
      <c r="F57" s="26" t="n">
        <f aca="false">F55+F56</f>
        <v>62.146</v>
      </c>
      <c r="G57" s="26" t="n">
        <f aca="false">G55+G56</f>
        <v>56.95</v>
      </c>
      <c r="H57" s="26" t="n">
        <f aca="false">H55+H56</f>
        <v>73.733</v>
      </c>
      <c r="I57" s="26" t="n">
        <f aca="false">I55+I56</f>
        <v>83.99925242692</v>
      </c>
      <c r="J57" s="26" t="n">
        <f aca="false">J55+J56</f>
        <v>101.398750770255</v>
      </c>
      <c r="K57" s="26" t="n">
        <f aca="false">K55+K56</f>
        <v>127.565892347942</v>
      </c>
      <c r="L57" s="26" t="n">
        <f aca="false">L55+L56</f>
        <v>162.154425178058</v>
      </c>
      <c r="M57" s="26" t="n">
        <f aca="false">M55+M56</f>
        <v>205.765397153625</v>
      </c>
      <c r="N57" s="26" t="n">
        <f aca="false">N55+N56</f>
        <v>257.906063746384</v>
      </c>
      <c r="O57" s="26" t="n">
        <f aca="false">O55+O56</f>
        <v>319.325244854527</v>
      </c>
      <c r="P57" s="26" t="n">
        <f aca="false">P55+P56</f>
        <v>389.71168692251</v>
      </c>
      <c r="Q57" s="26" t="n">
        <f aca="false">Q55+Q56</f>
        <v>469.925994988335</v>
      </c>
      <c r="R57" s="26" t="n">
        <f aca="false">R55+R56</f>
        <v>559.688255219663</v>
      </c>
    </row>
    <row r="58" customFormat="false" ht="15" hidden="false" customHeight="false" outlineLevel="0" collapsed="false">
      <c r="A58" s="2" t="s">
        <v>109</v>
      </c>
      <c r="D58" s="27" t="n">
        <f aca="false">D53+D57</f>
        <v>351.002</v>
      </c>
      <c r="E58" s="27" t="n">
        <f aca="false">E53+E57</f>
        <v>352.755</v>
      </c>
      <c r="F58" s="27" t="n">
        <f aca="false">F53+F57</f>
        <v>352.583</v>
      </c>
      <c r="G58" s="27" t="n">
        <f aca="false">G53+G57</f>
        <v>364.98</v>
      </c>
      <c r="H58" s="27" t="n">
        <f aca="false">H53+H57</f>
        <v>359.241</v>
      </c>
      <c r="I58" s="27" t="n">
        <f aca="false">I53+I57</f>
        <v>381.253507744345</v>
      </c>
      <c r="J58" s="27" t="n">
        <f aca="false">J53+J57</f>
        <v>409.559376704839</v>
      </c>
      <c r="K58" s="27" t="n">
        <f aca="false">K53+K57</f>
        <v>445.526708967779</v>
      </c>
      <c r="L58" s="27" t="n">
        <f aca="false">L53+L57</f>
        <v>489.78736026644</v>
      </c>
      <c r="M58" s="27" t="n">
        <f aca="false">M53+M57</f>
        <v>543.091977000954</v>
      </c>
      <c r="N58" s="27" t="n">
        <f aca="false">N53+N57</f>
        <v>605.133846393381</v>
      </c>
      <c r="O58" s="27" t="n">
        <f aca="false">O53+O57</f>
        <v>676.652507532378</v>
      </c>
      <c r="P58" s="27" t="n">
        <f aca="false">P53+P57</f>
        <v>757.080971863399</v>
      </c>
      <c r="Q58" s="27" t="n">
        <f aca="false">Q53+Q57</f>
        <v>847.49104836863</v>
      </c>
      <c r="R58" s="27" t="n">
        <f aca="false">R53+R57</f>
        <v>947.588475437103</v>
      </c>
    </row>
    <row r="60" customFormat="false" ht="15" hidden="false" customHeight="false" outlineLevel="0" collapsed="false">
      <c r="A60" s="11" t="s">
        <v>110</v>
      </c>
      <c r="D60" s="28" t="n">
        <f aca="false">D58-D48</f>
        <v>0</v>
      </c>
      <c r="E60" s="28" t="n">
        <f aca="false">E58-E48</f>
        <v>0</v>
      </c>
      <c r="F60" s="28" t="n">
        <f aca="false">F58-F48</f>
        <v>0</v>
      </c>
      <c r="G60" s="28" t="n">
        <f aca="false">G58-G48</f>
        <v>0</v>
      </c>
      <c r="H60" s="28" t="n">
        <f aca="false">H58-H48</f>
        <v>0</v>
      </c>
      <c r="I60" s="28" t="n">
        <f aca="false">I58-I48</f>
        <v>0</v>
      </c>
      <c r="J60" s="28" t="n">
        <f aca="false">J58-J48</f>
        <v>0</v>
      </c>
      <c r="K60" s="28" t="n">
        <f aca="false">K58-K48</f>
        <v>0</v>
      </c>
      <c r="L60" s="28" t="n">
        <f aca="false">L58-L48</f>
        <v>0</v>
      </c>
      <c r="M60" s="28" t="n">
        <f aca="false">M58-M48</f>
        <v>0</v>
      </c>
      <c r="N60" s="28" t="n">
        <f aca="false">N58-N48</f>
        <v>0</v>
      </c>
      <c r="O60" s="28" t="n">
        <f aca="false">O58-O48</f>
        <v>0</v>
      </c>
      <c r="P60" s="28" t="n">
        <f aca="false">P58-P48</f>
        <v>0</v>
      </c>
      <c r="Q60" s="28" t="n">
        <f aca="false">Q58-Q48</f>
        <v>0</v>
      </c>
      <c r="R60" s="28" t="n">
        <f aca="false">R58-R48</f>
        <v>0</v>
      </c>
    </row>
    <row r="63" customFormat="false" ht="16.15" hidden="false" customHeight="false" outlineLevel="0" collapsed="false">
      <c r="A63" s="15" t="s">
        <v>111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5" customFormat="false" ht="15" hidden="false" customHeight="false" outlineLevel="0" collapsed="false">
      <c r="A65" s="2" t="s">
        <v>112</v>
      </c>
    </row>
    <row r="66" customFormat="false" ht="15" hidden="false" customHeight="false" outlineLevel="0" collapsed="false">
      <c r="A66" s="3" t="s">
        <v>101</v>
      </c>
      <c r="E66" s="22" t="n">
        <f aca="false">E38</f>
        <v>97.206</v>
      </c>
      <c r="F66" s="22" t="n">
        <f aca="false">F38</f>
        <v>93.627</v>
      </c>
      <c r="G66" s="22" t="n">
        <f aca="false">G38</f>
        <v>89.6886</v>
      </c>
      <c r="H66" s="22" t="n">
        <f aca="false">H38</f>
        <v>108.7646</v>
      </c>
      <c r="I66" s="22" t="n">
        <f aca="false">I38</f>
        <v>115.26625242692</v>
      </c>
      <c r="J66" s="22" t="n">
        <f aca="false">J38</f>
        <v>122.399498343335</v>
      </c>
      <c r="K66" s="22" t="n">
        <f aca="false">K38</f>
        <v>131.167141577686</v>
      </c>
      <c r="L66" s="22" t="n">
        <f aca="false">L38</f>
        <v>139.588532830116</v>
      </c>
      <c r="M66" s="22" t="n">
        <f aca="false">M38</f>
        <v>148.610971975568</v>
      </c>
      <c r="N66" s="22" t="n">
        <f aca="false">N38</f>
        <v>157.140666592759</v>
      </c>
      <c r="O66" s="22" t="n">
        <f aca="false">O38</f>
        <v>166.419181108143</v>
      </c>
      <c r="P66" s="22" t="n">
        <f aca="false">P38</f>
        <v>175.386442067983</v>
      </c>
      <c r="Q66" s="22" t="n">
        <f aca="false">Q38</f>
        <v>185.214308065825</v>
      </c>
      <c r="R66" s="22" t="n">
        <f aca="false">R38</f>
        <v>194.762260231328</v>
      </c>
    </row>
    <row r="67" customFormat="false" ht="15" hidden="false" customHeight="false" outlineLevel="0" collapsed="false">
      <c r="A67" s="3" t="s">
        <v>113</v>
      </c>
      <c r="E67" s="22" t="n">
        <f aca="false">E32</f>
        <v>11.104</v>
      </c>
      <c r="F67" s="22" t="n">
        <f aca="false">F32</f>
        <v>11.519</v>
      </c>
      <c r="G67" s="22" t="n">
        <f aca="false">G32</f>
        <v>11.445</v>
      </c>
      <c r="H67" s="22" t="n">
        <f aca="false">H32</f>
        <v>11.698</v>
      </c>
      <c r="I67" s="22" t="n">
        <f aca="false">I32</f>
        <v>11.703534</v>
      </c>
      <c r="J67" s="22" t="n">
        <f aca="false">J32</f>
        <v>11.805954814</v>
      </c>
      <c r="K67" s="22" t="n">
        <f aca="false">K32</f>
        <v>11.939784383694</v>
      </c>
      <c r="L67" s="22" t="n">
        <f aca="false">L32</f>
        <v>12.1025414173822</v>
      </c>
      <c r="M67" s="22" t="n">
        <f aca="false">M32</f>
        <v>12.291940645409</v>
      </c>
      <c r="N67" s="22" t="n">
        <f aca="false">N32</f>
        <v>12.5058773344217</v>
      </c>
      <c r="O67" s="22" t="n">
        <f aca="false">O32</f>
        <v>12.7029130250024</v>
      </c>
      <c r="P67" s="22" t="n">
        <f aca="false">P32</f>
        <v>12.8843828960272</v>
      </c>
      <c r="Q67" s="22" t="n">
        <f aca="false">Q32</f>
        <v>13.051516647241</v>
      </c>
      <c r="R67" s="22" t="n">
        <f aca="false">R32</f>
        <v>13.205446832109</v>
      </c>
    </row>
    <row r="68" customFormat="false" ht="15" hidden="false" customHeight="false" outlineLevel="0" collapsed="false">
      <c r="A68" s="3" t="s">
        <v>114</v>
      </c>
      <c r="E68" s="22" t="n">
        <f aca="false">E93</f>
        <v>-10.421</v>
      </c>
      <c r="F68" s="22" t="n">
        <f aca="false">F93</f>
        <v>4.53400000000001</v>
      </c>
      <c r="G68" s="22" t="n">
        <f aca="false">G93</f>
        <v>-16.251</v>
      </c>
      <c r="H68" s="22" t="n">
        <f aca="false">H93</f>
        <v>20.986</v>
      </c>
      <c r="I68" s="22" t="n">
        <f aca="false">I93</f>
        <v>-13.882064364548</v>
      </c>
      <c r="J68" s="22" t="n">
        <f aca="false">J93</f>
        <v>-6.46070416876506</v>
      </c>
      <c r="K68" s="22" t="n">
        <f aca="false">K93</f>
        <v>-5.3797485714298</v>
      </c>
      <c r="L68" s="22" t="n">
        <f aca="false">L93</f>
        <v>-5.26652163925326</v>
      </c>
      <c r="M68" s="22" t="n">
        <f aca="false">M93</f>
        <v>-5.24035262449681</v>
      </c>
      <c r="N68" s="22" t="n">
        <f aca="false">N93</f>
        <v>-5.4077544019174</v>
      </c>
      <c r="O68" s="22" t="n">
        <f aca="false">O93</f>
        <v>-5.49057168140186</v>
      </c>
      <c r="P68" s="22" t="n">
        <f aca="false">P93</f>
        <v>-5.42469983788277</v>
      </c>
      <c r="Q68" s="22" t="n">
        <f aca="false">Q93</f>
        <v>-5.48015394561011</v>
      </c>
      <c r="R68" s="22" t="n">
        <f aca="false">R93</f>
        <v>-5.52629884213073</v>
      </c>
    </row>
    <row r="69" customFormat="false" ht="15" hidden="false" customHeight="false" outlineLevel="0" collapsed="false">
      <c r="A69" s="2" t="s">
        <v>115</v>
      </c>
      <c r="E69" s="26" t="n">
        <f aca="false">E66+E67-E68</f>
        <v>118.731</v>
      </c>
      <c r="F69" s="26" t="n">
        <f aca="false">F66+F67-F68</f>
        <v>100.612</v>
      </c>
      <c r="G69" s="26" t="n">
        <f aca="false">G66+G67-G68</f>
        <v>117.3846</v>
      </c>
      <c r="H69" s="26" t="n">
        <f aca="false">H66+H67-H68</f>
        <v>99.4766</v>
      </c>
      <c r="I69" s="26" t="n">
        <f aca="false">I66+I67-I68</f>
        <v>140.851850791468</v>
      </c>
      <c r="J69" s="26" t="n">
        <f aca="false">J66+J67-J68</f>
        <v>140.6661573261</v>
      </c>
      <c r="K69" s="26" t="n">
        <f aca="false">K66+K67-K68</f>
        <v>148.48667453281</v>
      </c>
      <c r="L69" s="26" t="n">
        <f aca="false">L66+L67-L68</f>
        <v>156.957595886752</v>
      </c>
      <c r="M69" s="26" t="n">
        <f aca="false">M66+M67-M68</f>
        <v>166.143265245473</v>
      </c>
      <c r="N69" s="26" t="n">
        <f aca="false">N66+N67-N68</f>
        <v>175.054298329098</v>
      </c>
      <c r="O69" s="26" t="n">
        <f aca="false">O66+O67-O68</f>
        <v>184.612665814547</v>
      </c>
      <c r="P69" s="26" t="n">
        <f aca="false">P66+P67-P68</f>
        <v>193.695524801893</v>
      </c>
      <c r="Q69" s="26" t="n">
        <f aca="false">Q66+Q67-Q68</f>
        <v>203.745978658676</v>
      </c>
      <c r="R69" s="26" t="n">
        <f aca="false">R66+R67-R68</f>
        <v>213.494005905568</v>
      </c>
    </row>
    <row r="71" customFormat="false" ht="15" hidden="false" customHeight="false" outlineLevel="0" collapsed="false">
      <c r="A71" s="2" t="s">
        <v>116</v>
      </c>
    </row>
    <row r="72" customFormat="false" ht="15" hidden="false" customHeight="false" outlineLevel="0" collapsed="false">
      <c r="A72" s="3" t="s">
        <v>117</v>
      </c>
      <c r="E72" s="22" t="n">
        <f aca="false">E97</f>
        <v>10.708</v>
      </c>
      <c r="F72" s="22" t="n">
        <f aca="false">F97</f>
        <v>10.959</v>
      </c>
      <c r="G72" s="22" t="n">
        <f aca="false">G97</f>
        <v>9.447</v>
      </c>
      <c r="H72" s="22" t="n">
        <f aca="false">H97</f>
        <v>12.715</v>
      </c>
      <c r="I72" s="22" t="n">
        <f aca="false">I18</f>
        <v>13</v>
      </c>
      <c r="J72" s="22" t="n">
        <f aca="false">J18</f>
        <v>13.5</v>
      </c>
      <c r="K72" s="22" t="n">
        <f aca="false">K18</f>
        <v>14</v>
      </c>
      <c r="L72" s="22" t="n">
        <f aca="false">L18</f>
        <v>14.5</v>
      </c>
      <c r="M72" s="22" t="n">
        <f aca="false">M18</f>
        <v>15</v>
      </c>
      <c r="N72" s="22" t="n">
        <f aca="false">N18</f>
        <v>15</v>
      </c>
      <c r="O72" s="22" t="n">
        <f aca="false">O18</f>
        <v>15</v>
      </c>
      <c r="P72" s="22" t="n">
        <f aca="false">P18</f>
        <v>15</v>
      </c>
      <c r="Q72" s="22" t="n">
        <f aca="false">Q18</f>
        <v>15</v>
      </c>
      <c r="R72" s="22" t="n">
        <f aca="false">R18</f>
        <v>15</v>
      </c>
    </row>
    <row r="73" customFormat="false" ht="15" hidden="false" customHeight="false" outlineLevel="0" collapsed="false">
      <c r="A73" s="2" t="s">
        <v>118</v>
      </c>
      <c r="E73" s="26" t="n">
        <f aca="false">E72</f>
        <v>10.708</v>
      </c>
      <c r="F73" s="26" t="n">
        <f aca="false">F72</f>
        <v>10.959</v>
      </c>
      <c r="G73" s="26" t="n">
        <f aca="false">G72</f>
        <v>9.447</v>
      </c>
      <c r="H73" s="26" t="n">
        <f aca="false">H72</f>
        <v>12.715</v>
      </c>
      <c r="I73" s="26" t="n">
        <f aca="false">I72</f>
        <v>13</v>
      </c>
      <c r="J73" s="26" t="n">
        <f aca="false">J72</f>
        <v>13.5</v>
      </c>
      <c r="K73" s="26" t="n">
        <f aca="false">K72</f>
        <v>14</v>
      </c>
      <c r="L73" s="26" t="n">
        <f aca="false">L72</f>
        <v>14.5</v>
      </c>
      <c r="M73" s="26" t="n">
        <f aca="false">M72</f>
        <v>15</v>
      </c>
      <c r="N73" s="26" t="n">
        <f aca="false">N72</f>
        <v>15</v>
      </c>
      <c r="O73" s="26" t="n">
        <f aca="false">O72</f>
        <v>15</v>
      </c>
      <c r="P73" s="26" t="n">
        <f aca="false">P72</f>
        <v>15</v>
      </c>
      <c r="Q73" s="26" t="n">
        <f aca="false">Q72</f>
        <v>15</v>
      </c>
      <c r="R73" s="26" t="n">
        <f aca="false">R72</f>
        <v>15</v>
      </c>
    </row>
    <row r="75" customFormat="false" ht="15" hidden="false" customHeight="false" outlineLevel="0" collapsed="false">
      <c r="A75" s="2" t="s">
        <v>119</v>
      </c>
    </row>
    <row r="76" customFormat="false" ht="15" hidden="false" customHeight="false" outlineLevel="0" collapsed="false">
      <c r="A76" s="3" t="s">
        <v>120</v>
      </c>
      <c r="E76" s="22" t="n">
        <f aca="false">E103</f>
        <v>-0.123</v>
      </c>
      <c r="F76" s="22" t="n">
        <f aca="false">F103</f>
        <v>-9.901</v>
      </c>
      <c r="G76" s="22" t="n">
        <f aca="false">G103</f>
        <v>-5.998</v>
      </c>
      <c r="H76" s="22" t="n">
        <f aca="false">H103</f>
        <v>-8.483</v>
      </c>
      <c r="I76" s="22" t="n">
        <f aca="false">I19</f>
        <v>0</v>
      </c>
      <c r="J76" s="22" t="n">
        <f aca="false">J19</f>
        <v>0</v>
      </c>
      <c r="K76" s="22" t="n">
        <f aca="false">K19</f>
        <v>0</v>
      </c>
      <c r="L76" s="22" t="n">
        <f aca="false">L19</f>
        <v>0</v>
      </c>
      <c r="M76" s="22" t="n">
        <f aca="false">M19</f>
        <v>0</v>
      </c>
      <c r="N76" s="22" t="n">
        <f aca="false">N19</f>
        <v>0</v>
      </c>
      <c r="O76" s="22" t="n">
        <f aca="false">O19</f>
        <v>0</v>
      </c>
      <c r="P76" s="22" t="n">
        <f aca="false">P19</f>
        <v>0</v>
      </c>
      <c r="Q76" s="22" t="n">
        <f aca="false">Q19</f>
        <v>0</v>
      </c>
      <c r="R76" s="22" t="n">
        <f aca="false">R19</f>
        <v>0</v>
      </c>
    </row>
    <row r="77" customFormat="false" ht="15" hidden="false" customHeight="false" outlineLevel="0" collapsed="false">
      <c r="A77" s="3" t="s">
        <v>121</v>
      </c>
      <c r="E77" s="22" t="n">
        <f aca="false">Data_Input!D24</f>
        <v>-89.402</v>
      </c>
      <c r="F77" s="22" t="n">
        <f aca="false">Data_Input!E24</f>
        <v>-77.55</v>
      </c>
      <c r="G77" s="22" t="n">
        <f aca="false">Data_Input!F24</f>
        <v>-94.949</v>
      </c>
      <c r="H77" s="22" t="n">
        <f aca="false">Data_Input!G24</f>
        <v>-90.711</v>
      </c>
      <c r="I77" s="22" t="n">
        <f aca="false">I20</f>
        <v>-105</v>
      </c>
      <c r="J77" s="22" t="n">
        <f aca="false">J20</f>
        <v>-105</v>
      </c>
      <c r="K77" s="22" t="n">
        <f aca="false">K20</f>
        <v>-105</v>
      </c>
      <c r="L77" s="22" t="n">
        <f aca="false">L20</f>
        <v>-105</v>
      </c>
      <c r="M77" s="22" t="n">
        <f aca="false">M20</f>
        <v>-105</v>
      </c>
      <c r="N77" s="22" t="n">
        <f aca="false">N20</f>
        <v>-105</v>
      </c>
      <c r="O77" s="22" t="n">
        <f aca="false">O20</f>
        <v>-105</v>
      </c>
      <c r="P77" s="22" t="n">
        <f aca="false">P20</f>
        <v>-105</v>
      </c>
      <c r="Q77" s="22" t="n">
        <f aca="false">Q20</f>
        <v>-105</v>
      </c>
      <c r="R77" s="22" t="n">
        <f aca="false">R20</f>
        <v>-105</v>
      </c>
    </row>
    <row r="78" customFormat="false" ht="15" hidden="false" customHeight="false" outlineLevel="0" collapsed="false">
      <c r="A78" s="2" t="s">
        <v>122</v>
      </c>
      <c r="E78" s="26" t="n">
        <f aca="false">E76+E77</f>
        <v>-89.525</v>
      </c>
      <c r="F78" s="26" t="n">
        <f aca="false">F76+F77</f>
        <v>-87.451</v>
      </c>
      <c r="G78" s="26" t="n">
        <f aca="false">G76+G77</f>
        <v>-100.947</v>
      </c>
      <c r="H78" s="26" t="n">
        <f aca="false">H76+H77</f>
        <v>-99.194</v>
      </c>
      <c r="I78" s="26" t="n">
        <f aca="false">I76+I77</f>
        <v>-105</v>
      </c>
      <c r="J78" s="26" t="n">
        <f aca="false">J76+J77</f>
        <v>-105</v>
      </c>
      <c r="K78" s="26" t="n">
        <f aca="false">K76+K77</f>
        <v>-105</v>
      </c>
      <c r="L78" s="26" t="n">
        <f aca="false">L76+L77</f>
        <v>-105</v>
      </c>
      <c r="M78" s="26" t="n">
        <f aca="false">M76+M77</f>
        <v>-105</v>
      </c>
      <c r="N78" s="26" t="n">
        <f aca="false">N76+N77</f>
        <v>-105</v>
      </c>
      <c r="O78" s="26" t="n">
        <f aca="false">O76+O77</f>
        <v>-105</v>
      </c>
      <c r="P78" s="26" t="n">
        <f aca="false">P76+P77</f>
        <v>-105</v>
      </c>
      <c r="Q78" s="26" t="n">
        <f aca="false">Q76+Q77</f>
        <v>-105</v>
      </c>
      <c r="R78" s="26" t="n">
        <f aca="false">R76+R77</f>
        <v>-105</v>
      </c>
    </row>
    <row r="80" customFormat="false" ht="15" hidden="false" customHeight="false" outlineLevel="0" collapsed="false">
      <c r="A80" s="3" t="s">
        <v>123</v>
      </c>
      <c r="E80" s="22" t="n">
        <f aca="false">E69-E73+E78</f>
        <v>18.498</v>
      </c>
      <c r="F80" s="22" t="n">
        <f aca="false">F69-F73+F78</f>
        <v>2.20200000000003</v>
      </c>
      <c r="G80" s="22" t="n">
        <f aca="false">G69-G73+G78</f>
        <v>6.99060000000003</v>
      </c>
      <c r="H80" s="22" t="n">
        <f aca="false">H69-H73+H78</f>
        <v>-12.4324</v>
      </c>
      <c r="I80" s="22" t="n">
        <f aca="false">I69-I73+I78</f>
        <v>22.851850791468</v>
      </c>
      <c r="J80" s="22" t="n">
        <f aca="false">J69-J73+J78</f>
        <v>22.1661573261002</v>
      </c>
      <c r="K80" s="22" t="n">
        <f aca="false">K69-K73+K78</f>
        <v>29.4866745328101</v>
      </c>
      <c r="L80" s="22" t="n">
        <f aca="false">L69-L73+L78</f>
        <v>37.4575958867517</v>
      </c>
      <c r="M80" s="22" t="n">
        <f aca="false">M69-M73+M78</f>
        <v>46.1432652454734</v>
      </c>
      <c r="N80" s="22" t="n">
        <f aca="false">N69-N73+N78</f>
        <v>55.0542983290979</v>
      </c>
      <c r="O80" s="22" t="n">
        <f aca="false">O69-O73+O78</f>
        <v>64.6126658145469</v>
      </c>
      <c r="P80" s="22" t="n">
        <f aca="false">P69-P73+P78</f>
        <v>73.6955248018932</v>
      </c>
      <c r="Q80" s="22" t="n">
        <f aca="false">Q69-Q73+Q78</f>
        <v>83.7459786586763</v>
      </c>
      <c r="R80" s="22" t="n">
        <f aca="false">R69-R73+R78</f>
        <v>93.4940059055676</v>
      </c>
    </row>
    <row r="81" customFormat="false" ht="15" hidden="false" customHeight="false" outlineLevel="0" collapsed="false">
      <c r="A81" s="3" t="s">
        <v>124</v>
      </c>
      <c r="E81" s="22" t="n">
        <f aca="false">D44</f>
        <v>190.516</v>
      </c>
      <c r="F81" s="22" t="n">
        <f aca="false">E44</f>
        <v>169.109</v>
      </c>
      <c r="G81" s="22" t="n">
        <f aca="false">F44</f>
        <v>162.099</v>
      </c>
      <c r="H81" s="22" t="n">
        <f aca="false">G44</f>
        <v>156.65</v>
      </c>
      <c r="I81" s="22" t="n">
        <f aca="false">H44</f>
        <v>132.42</v>
      </c>
      <c r="J81" s="22" t="n">
        <f aca="false">I44</f>
        <v>155.271850791468</v>
      </c>
      <c r="K81" s="22" t="n">
        <f aca="false">J44</f>
        <v>177.438008117568</v>
      </c>
      <c r="L81" s="22" t="n">
        <f aca="false">K44</f>
        <v>206.924682650378</v>
      </c>
      <c r="M81" s="22" t="n">
        <f aca="false">L44</f>
        <v>244.38227853713</v>
      </c>
      <c r="N81" s="22" t="n">
        <f aca="false">M44</f>
        <v>290.525543782603</v>
      </c>
      <c r="O81" s="22" t="n">
        <f aca="false">N44</f>
        <v>345.579842111701</v>
      </c>
      <c r="P81" s="22" t="n">
        <f aca="false">O44</f>
        <v>410.192507926248</v>
      </c>
      <c r="Q81" s="22" t="n">
        <f aca="false">P44</f>
        <v>483.888032728142</v>
      </c>
      <c r="R81" s="22" t="n">
        <f aca="false">Q44</f>
        <v>567.634011386818</v>
      </c>
    </row>
    <row r="82" customFormat="false" ht="15" hidden="false" customHeight="false" outlineLevel="0" collapsed="false">
      <c r="A82" s="2" t="s">
        <v>125</v>
      </c>
      <c r="E82" s="27" t="n">
        <f aca="false">E80+E81</f>
        <v>209.014</v>
      </c>
      <c r="F82" s="27" t="n">
        <f aca="false">F80+F81</f>
        <v>171.311</v>
      </c>
      <c r="G82" s="27" t="n">
        <f aca="false">G80+G81</f>
        <v>169.0896</v>
      </c>
      <c r="H82" s="27" t="n">
        <f aca="false">H80+H81</f>
        <v>144.2176</v>
      </c>
      <c r="I82" s="27" t="n">
        <f aca="false">I80+I81</f>
        <v>155.271850791468</v>
      </c>
      <c r="J82" s="27" t="n">
        <f aca="false">J80+J81</f>
        <v>177.438008117568</v>
      </c>
      <c r="K82" s="27" t="n">
        <f aca="false">K80+K81</f>
        <v>206.924682650378</v>
      </c>
      <c r="L82" s="27" t="n">
        <f aca="false">L80+L81</f>
        <v>244.38227853713</v>
      </c>
      <c r="M82" s="27" t="n">
        <f aca="false">M80+M81</f>
        <v>290.525543782603</v>
      </c>
      <c r="N82" s="27" t="n">
        <f aca="false">N80+N81</f>
        <v>345.579842111701</v>
      </c>
      <c r="O82" s="27" t="n">
        <f aca="false">O80+O81</f>
        <v>410.192507926248</v>
      </c>
      <c r="P82" s="27" t="n">
        <f aca="false">P80+P81</f>
        <v>483.888032728142</v>
      </c>
      <c r="Q82" s="27" t="n">
        <f aca="false">Q80+Q81</f>
        <v>567.634011386818</v>
      </c>
      <c r="R82" s="27" t="n">
        <f aca="false">R80+R81</f>
        <v>661.128017292385</v>
      </c>
    </row>
    <row r="83" customFormat="false" ht="15" hidden="false" customHeight="false" outlineLevel="0" collapsed="false">
      <c r="A83" s="1" t="s">
        <v>126</v>
      </c>
    </row>
    <row r="86" customFormat="false" ht="16.15" hidden="false" customHeight="false" outlineLevel="0" collapsed="false">
      <c r="A86" s="15" t="s">
        <v>127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</row>
    <row r="88" customFormat="false" ht="15" hidden="false" customHeight="false" outlineLevel="0" collapsed="false">
      <c r="A88" s="2" t="s">
        <v>128</v>
      </c>
    </row>
    <row r="89" customFormat="false" ht="15" hidden="false" customHeight="false" outlineLevel="0" collapsed="false">
      <c r="A89" s="3" t="s">
        <v>27</v>
      </c>
      <c r="D89" s="22" t="n">
        <f aca="false">D45</f>
        <v>51.506</v>
      </c>
      <c r="E89" s="22" t="n">
        <f aca="false">E45</f>
        <v>60.932</v>
      </c>
      <c r="F89" s="22" t="n">
        <f aca="false">F45</f>
        <v>60.985</v>
      </c>
      <c r="G89" s="22" t="n">
        <f aca="false">G45</f>
        <v>66.243</v>
      </c>
      <c r="H89" s="22" t="n">
        <f aca="false">H45</f>
        <v>72.957</v>
      </c>
      <c r="I89" s="22" t="n">
        <f aca="false">I45</f>
        <v>70.097474739726</v>
      </c>
      <c r="J89" s="22" t="n">
        <f aca="false">J45</f>
        <v>74.1631282746302</v>
      </c>
      <c r="K89" s="22" t="n">
        <f aca="false">K45</f>
        <v>78.2421003297348</v>
      </c>
      <c r="L89" s="22" t="n">
        <f aca="false">L45</f>
        <v>82.310689546881</v>
      </c>
      <c r="M89" s="22" t="n">
        <f aca="false">M45</f>
        <v>86.4262240242251</v>
      </c>
      <c r="N89" s="22" t="n">
        <f aca="false">N45</f>
        <v>90.5746827773879</v>
      </c>
      <c r="O89" s="22" t="n">
        <f aca="false">O45</f>
        <v>94.8316928679251</v>
      </c>
      <c r="P89" s="22" t="n">
        <f aca="false">P45</f>
        <v>99.0991190469817</v>
      </c>
      <c r="Q89" s="22" t="n">
        <f aca="false">Q45</f>
        <v>103.459480285049</v>
      </c>
      <c r="R89" s="22" t="n">
        <f aca="false">R45</f>
        <v>107.908237937306</v>
      </c>
    </row>
    <row r="90" customFormat="false" ht="15" hidden="false" customHeight="false" outlineLevel="0" collapsed="false">
      <c r="A90" s="3" t="s">
        <v>29</v>
      </c>
      <c r="D90" s="22" t="n">
        <f aca="false">D46</f>
        <v>6.58</v>
      </c>
      <c r="E90" s="22" t="n">
        <f aca="false">E46</f>
        <v>4.946</v>
      </c>
      <c r="F90" s="22" t="n">
        <f aca="false">F46</f>
        <v>6.331</v>
      </c>
      <c r="G90" s="22" t="n">
        <f aca="false">G46</f>
        <v>7.286</v>
      </c>
      <c r="H90" s="22" t="n">
        <f aca="false">H46</f>
        <v>5.718</v>
      </c>
      <c r="I90" s="22" t="n">
        <f aca="false">I46</f>
        <v>6.44171621315069</v>
      </c>
      <c r="J90" s="22" t="n">
        <f aca="false">J46</f>
        <v>6.82172912664055</v>
      </c>
      <c r="K90" s="22" t="n">
        <f aca="false">K46</f>
        <v>7.1631991853602</v>
      </c>
      <c r="L90" s="22" t="n">
        <f aca="false">L46</f>
        <v>7.50020679750459</v>
      </c>
      <c r="M90" s="22" t="n">
        <f aca="false">M46</f>
        <v>7.83796445461076</v>
      </c>
      <c r="N90" s="22" t="n">
        <f aca="false">N46</f>
        <v>8.18295409919849</v>
      </c>
      <c r="O90" s="22" t="n">
        <f aca="false">O46</f>
        <v>8.53485235811326</v>
      </c>
      <c r="P90" s="22" t="n">
        <f aca="false">P46</f>
        <v>8.88474860421215</v>
      </c>
      <c r="Q90" s="22" t="n">
        <f aca="false">Q46</f>
        <v>9.24000185994058</v>
      </c>
      <c r="R90" s="22" t="n">
        <f aca="false">R46</f>
        <v>9.60011220269826</v>
      </c>
    </row>
    <row r="91" customFormat="false" ht="15" hidden="false" customHeight="false" outlineLevel="0" collapsed="false">
      <c r="A91" s="3" t="s">
        <v>33</v>
      </c>
      <c r="D91" s="22" t="n">
        <f aca="false">D51</f>
        <v>151.39</v>
      </c>
      <c r="E91" s="22" t="n">
        <f aca="false">E51</f>
        <v>169.603</v>
      </c>
      <c r="F91" s="22" t="n">
        <f aca="false">F51</f>
        <v>166.507</v>
      </c>
      <c r="G91" s="22" t="n">
        <f aca="false">G51</f>
        <v>188.971</v>
      </c>
      <c r="H91" s="22" t="n">
        <f aca="false">H51</f>
        <v>173.131</v>
      </c>
      <c r="I91" s="22" t="n">
        <f aca="false">I51</f>
        <v>184.877255317425</v>
      </c>
      <c r="J91" s="22" t="n">
        <f aca="false">J51</f>
        <v>195.783625934584</v>
      </c>
      <c r="K91" s="22" t="n">
        <f aca="false">K51</f>
        <v>205.583816619838</v>
      </c>
      <c r="L91" s="22" t="n">
        <f aca="false">L51</f>
        <v>215.255935088382</v>
      </c>
      <c r="M91" s="22" t="n">
        <f aca="false">M51</f>
        <v>224.949579847329</v>
      </c>
      <c r="N91" s="22" t="n">
        <f aca="false">N51</f>
        <v>234.850782646997</v>
      </c>
      <c r="O91" s="22" t="n">
        <f aca="false">O51</f>
        <v>244.950262677851</v>
      </c>
      <c r="P91" s="22" t="n">
        <f aca="false">P51</f>
        <v>254.992284940889</v>
      </c>
      <c r="Q91" s="22" t="n">
        <f aca="false">Q51</f>
        <v>265.188053380295</v>
      </c>
      <c r="R91" s="22" t="n">
        <f aca="false">R51</f>
        <v>275.52322021744</v>
      </c>
    </row>
    <row r="92" customFormat="false" ht="15" hidden="false" customHeight="false" outlineLevel="0" collapsed="false">
      <c r="A92" s="3" t="s">
        <v>129</v>
      </c>
      <c r="D92" s="29" t="n">
        <f aca="false">D89+D90-D91</f>
        <v>-93.304</v>
      </c>
      <c r="E92" s="29" t="n">
        <f aca="false">E89+E90-E91</f>
        <v>-103.725</v>
      </c>
      <c r="F92" s="29" t="n">
        <f aca="false">F89+F90-F91</f>
        <v>-99.191</v>
      </c>
      <c r="G92" s="29" t="n">
        <f aca="false">G89+G90-G91</f>
        <v>-115.442</v>
      </c>
      <c r="H92" s="29" t="n">
        <f aca="false">H89+H90-H91</f>
        <v>-94.456</v>
      </c>
      <c r="I92" s="29" t="n">
        <f aca="false">I89+I90-I91</f>
        <v>-108.338064364548</v>
      </c>
      <c r="J92" s="29" t="n">
        <f aca="false">J89+J90-J91</f>
        <v>-114.798768533313</v>
      </c>
      <c r="K92" s="29" t="n">
        <f aca="false">K89+K90-K91</f>
        <v>-120.178517104743</v>
      </c>
      <c r="L92" s="29" t="n">
        <f aca="false">L89+L90-L91</f>
        <v>-125.445038743996</v>
      </c>
      <c r="M92" s="29" t="n">
        <f aca="false">M89+M90-M91</f>
        <v>-130.685391368493</v>
      </c>
      <c r="N92" s="29" t="n">
        <f aca="false">N89+N90-N91</f>
        <v>-136.09314577041</v>
      </c>
      <c r="O92" s="29" t="n">
        <f aca="false">O89+O90-O91</f>
        <v>-141.583717451812</v>
      </c>
      <c r="P92" s="29" t="n">
        <f aca="false">P89+P90-P91</f>
        <v>-147.008417289695</v>
      </c>
      <c r="Q92" s="29" t="n">
        <f aca="false">Q89+Q90-Q91</f>
        <v>-152.488571235305</v>
      </c>
      <c r="R92" s="29" t="n">
        <f aca="false">R89+R90-R91</f>
        <v>-158.014870077436</v>
      </c>
    </row>
    <row r="93" customFormat="false" ht="15" hidden="false" customHeight="false" outlineLevel="0" collapsed="false">
      <c r="A93" s="3" t="s">
        <v>130</v>
      </c>
      <c r="D93" s="22" t="n">
        <f aca="false">D92</f>
        <v>-93.304</v>
      </c>
      <c r="E93" s="22" t="n">
        <f aca="false">E92-D92</f>
        <v>-10.421</v>
      </c>
      <c r="F93" s="22" t="n">
        <f aca="false">F92-E92</f>
        <v>4.53400000000001</v>
      </c>
      <c r="G93" s="22" t="n">
        <f aca="false">G92-F92</f>
        <v>-16.251</v>
      </c>
      <c r="H93" s="22" t="n">
        <f aca="false">H92-G92</f>
        <v>20.986</v>
      </c>
      <c r="I93" s="22" t="n">
        <f aca="false">I92-H92</f>
        <v>-13.882064364548</v>
      </c>
      <c r="J93" s="22" t="n">
        <f aca="false">J92-I92</f>
        <v>-6.46070416876506</v>
      </c>
      <c r="K93" s="22" t="n">
        <f aca="false">K92-J92</f>
        <v>-5.3797485714298</v>
      </c>
      <c r="L93" s="22" t="n">
        <f aca="false">L92-K92</f>
        <v>-5.26652163925326</v>
      </c>
      <c r="M93" s="22" t="n">
        <f aca="false">M92-L92</f>
        <v>-5.24035262449681</v>
      </c>
      <c r="N93" s="22" t="n">
        <f aca="false">N92-M92</f>
        <v>-5.4077544019174</v>
      </c>
      <c r="O93" s="22" t="n">
        <f aca="false">O92-N92</f>
        <v>-5.49057168140186</v>
      </c>
      <c r="P93" s="22" t="n">
        <f aca="false">P92-O92</f>
        <v>-5.42469983788277</v>
      </c>
      <c r="Q93" s="22" t="n">
        <f aca="false">Q92-P92</f>
        <v>-5.48015394561011</v>
      </c>
      <c r="R93" s="22" t="n">
        <f aca="false">R92-Q92</f>
        <v>-5.52629884213073</v>
      </c>
    </row>
    <row r="95" customFormat="false" ht="15" hidden="false" customHeight="false" outlineLevel="0" collapsed="false">
      <c r="A95" s="2" t="s">
        <v>131</v>
      </c>
    </row>
    <row r="96" customFormat="false" ht="15" hidden="false" customHeight="false" outlineLevel="0" collapsed="false">
      <c r="A96" s="3" t="s">
        <v>132</v>
      </c>
      <c r="D96" s="4" t="n">
        <f aca="false">Data_Input!C26</f>
        <v>102.599</v>
      </c>
      <c r="E96" s="22" t="n">
        <f aca="false">D99</f>
        <v>102.4</v>
      </c>
      <c r="F96" s="22" t="n">
        <f aca="false">E99</f>
        <v>102.004</v>
      </c>
      <c r="G96" s="22" t="n">
        <f aca="false">F99</f>
        <v>101.444</v>
      </c>
      <c r="H96" s="22" t="n">
        <f aca="false">G99</f>
        <v>99.446</v>
      </c>
      <c r="I96" s="22" t="n">
        <f aca="false">H47</f>
        <v>148.146</v>
      </c>
      <c r="J96" s="22" t="n">
        <f aca="false">I99</f>
        <v>149.442466</v>
      </c>
      <c r="K96" s="22" t="n">
        <f aca="false">J99</f>
        <v>151.136511186</v>
      </c>
      <c r="L96" s="22" t="n">
        <f aca="false">K99</f>
        <v>153.196726802306</v>
      </c>
      <c r="M96" s="22" t="n">
        <f aca="false">L99</f>
        <v>155.594185384924</v>
      </c>
      <c r="N96" s="22" t="n">
        <f aca="false">M99</f>
        <v>158.302244739515</v>
      </c>
      <c r="O96" s="22" t="n">
        <f aca="false">N99</f>
        <v>160.796367405093</v>
      </c>
      <c r="P96" s="22" t="n">
        <f aca="false">O99</f>
        <v>163.093454380091</v>
      </c>
      <c r="Q96" s="22" t="n">
        <f aca="false">P99</f>
        <v>165.209071484064</v>
      </c>
      <c r="R96" s="22" t="n">
        <f aca="false">Q99</f>
        <v>167.157554836823</v>
      </c>
    </row>
    <row r="97" customFormat="false" ht="15" hidden="false" customHeight="false" outlineLevel="0" collapsed="false">
      <c r="A97" s="3" t="s">
        <v>133</v>
      </c>
      <c r="D97" s="4" t="n">
        <f aca="false">Data_Input!C22</f>
        <v>11.085</v>
      </c>
      <c r="E97" s="4" t="n">
        <f aca="false">Data_Input!D22</f>
        <v>10.708</v>
      </c>
      <c r="F97" s="4" t="n">
        <f aca="false">Data_Input!E22</f>
        <v>10.959</v>
      </c>
      <c r="G97" s="4" t="n">
        <f aca="false">Data_Input!F22</f>
        <v>9.447</v>
      </c>
      <c r="H97" s="4" t="n">
        <f aca="false">Data_Input!G22</f>
        <v>12.715</v>
      </c>
      <c r="I97" s="22" t="n">
        <f aca="false">I18</f>
        <v>13</v>
      </c>
      <c r="J97" s="22" t="n">
        <f aca="false">J18</f>
        <v>13.5</v>
      </c>
      <c r="K97" s="22" t="n">
        <f aca="false">K18</f>
        <v>14</v>
      </c>
      <c r="L97" s="22" t="n">
        <f aca="false">L18</f>
        <v>14.5</v>
      </c>
      <c r="M97" s="22" t="n">
        <f aca="false">M18</f>
        <v>15</v>
      </c>
      <c r="N97" s="22" t="n">
        <f aca="false">N18</f>
        <v>15</v>
      </c>
      <c r="O97" s="22" t="n">
        <f aca="false">O18</f>
        <v>15</v>
      </c>
      <c r="P97" s="22" t="n">
        <f aca="false">P18</f>
        <v>15</v>
      </c>
      <c r="Q97" s="22" t="n">
        <f aca="false">Q18</f>
        <v>15</v>
      </c>
      <c r="R97" s="22" t="n">
        <f aca="false">R18</f>
        <v>15</v>
      </c>
    </row>
    <row r="98" customFormat="false" ht="15" hidden="false" customHeight="false" outlineLevel="0" collapsed="false">
      <c r="A98" s="3" t="s">
        <v>134</v>
      </c>
      <c r="D98" s="22" t="n">
        <f aca="false">D32</f>
        <v>11.284</v>
      </c>
      <c r="E98" s="22" t="n">
        <f aca="false">E32</f>
        <v>11.104</v>
      </c>
      <c r="F98" s="22" t="n">
        <f aca="false">F32</f>
        <v>11.519</v>
      </c>
      <c r="G98" s="22" t="n">
        <f aca="false">G32</f>
        <v>11.445</v>
      </c>
      <c r="H98" s="22" t="n">
        <f aca="false">H32</f>
        <v>11.698</v>
      </c>
      <c r="I98" s="22" t="n">
        <f aca="false">I32</f>
        <v>11.703534</v>
      </c>
      <c r="J98" s="22" t="n">
        <f aca="false">J32</f>
        <v>11.805954814</v>
      </c>
      <c r="K98" s="22" t="n">
        <f aca="false">K32</f>
        <v>11.939784383694</v>
      </c>
      <c r="L98" s="22" t="n">
        <f aca="false">L32</f>
        <v>12.1025414173822</v>
      </c>
      <c r="M98" s="22" t="n">
        <f aca="false">M32</f>
        <v>12.291940645409</v>
      </c>
      <c r="N98" s="22" t="n">
        <f aca="false">N32</f>
        <v>12.5058773344217</v>
      </c>
      <c r="O98" s="22" t="n">
        <f aca="false">O32</f>
        <v>12.7029130250024</v>
      </c>
      <c r="P98" s="22" t="n">
        <f aca="false">P32</f>
        <v>12.8843828960272</v>
      </c>
      <c r="Q98" s="22" t="n">
        <f aca="false">Q32</f>
        <v>13.051516647241</v>
      </c>
      <c r="R98" s="22" t="n">
        <f aca="false">R32</f>
        <v>13.205446832109</v>
      </c>
    </row>
    <row r="99" customFormat="false" ht="15" hidden="false" customHeight="false" outlineLevel="0" collapsed="false">
      <c r="A99" s="2" t="s">
        <v>135</v>
      </c>
      <c r="D99" s="26" t="n">
        <f aca="false">D96+D97-D98</f>
        <v>102.4</v>
      </c>
      <c r="E99" s="26" t="n">
        <f aca="false">E96+E97-E98</f>
        <v>102.004</v>
      </c>
      <c r="F99" s="26" t="n">
        <f aca="false">F96+F97-F98</f>
        <v>101.444</v>
      </c>
      <c r="G99" s="26" t="n">
        <f aca="false">G96+G97-G98</f>
        <v>99.446</v>
      </c>
      <c r="H99" s="26" t="n">
        <f aca="false">H96+H97-H98</f>
        <v>100.463</v>
      </c>
      <c r="I99" s="26" t="n">
        <f aca="false">I96+I97-I98</f>
        <v>149.442466</v>
      </c>
      <c r="J99" s="26" t="n">
        <f aca="false">J96+J97-J98</f>
        <v>151.136511186</v>
      </c>
      <c r="K99" s="26" t="n">
        <f aca="false">K96+K97-K98</f>
        <v>153.196726802306</v>
      </c>
      <c r="L99" s="26" t="n">
        <f aca="false">L96+L97-L98</f>
        <v>155.594185384924</v>
      </c>
      <c r="M99" s="26" t="n">
        <f aca="false">M96+M97-M98</f>
        <v>158.302244739515</v>
      </c>
      <c r="N99" s="26" t="n">
        <f aca="false">N96+N97-N98</f>
        <v>160.796367405093</v>
      </c>
      <c r="O99" s="26" t="n">
        <f aca="false">O96+O97-O98</f>
        <v>163.093454380091</v>
      </c>
      <c r="P99" s="26" t="n">
        <f aca="false">P96+P97-P98</f>
        <v>165.209071484064</v>
      </c>
      <c r="Q99" s="26" t="n">
        <f aca="false">Q96+Q97-Q98</f>
        <v>167.157554836823</v>
      </c>
      <c r="R99" s="26" t="n">
        <f aca="false">R96+R97-R98</f>
        <v>168.952108004714</v>
      </c>
    </row>
    <row r="101" customFormat="false" ht="15" hidden="false" customHeight="false" outlineLevel="0" collapsed="false">
      <c r="A101" s="2" t="s">
        <v>136</v>
      </c>
    </row>
    <row r="102" customFormat="false" ht="15" hidden="false" customHeight="false" outlineLevel="0" collapsed="false">
      <c r="A102" s="3" t="s">
        <v>137</v>
      </c>
      <c r="D102" s="4" t="n">
        <f aca="false">Data_Input!C27</f>
        <v>123.857</v>
      </c>
      <c r="E102" s="22" t="n">
        <f aca="false">D104</f>
        <v>136.522</v>
      </c>
      <c r="F102" s="22" t="n">
        <f aca="false">E104</f>
        <v>136.399</v>
      </c>
      <c r="G102" s="22" t="n">
        <f aca="false">F104</f>
        <v>126.498</v>
      </c>
      <c r="H102" s="22" t="n">
        <f aca="false">G104</f>
        <v>120.5</v>
      </c>
      <c r="I102" s="22" t="n">
        <f aca="false">H52</f>
        <v>112.377</v>
      </c>
      <c r="J102" s="22" t="n">
        <f aca="false">I104</f>
        <v>112.377</v>
      </c>
      <c r="K102" s="22" t="n">
        <f aca="false">J104</f>
        <v>112.377</v>
      </c>
      <c r="L102" s="22" t="n">
        <f aca="false">K104</f>
        <v>112.377</v>
      </c>
      <c r="M102" s="22" t="n">
        <f aca="false">L104</f>
        <v>112.377</v>
      </c>
      <c r="N102" s="22" t="n">
        <f aca="false">M104</f>
        <v>112.377</v>
      </c>
      <c r="O102" s="22" t="n">
        <f aca="false">N104</f>
        <v>112.377</v>
      </c>
      <c r="P102" s="22" t="n">
        <f aca="false">O104</f>
        <v>112.377</v>
      </c>
      <c r="Q102" s="22" t="n">
        <f aca="false">P104</f>
        <v>112.377</v>
      </c>
      <c r="R102" s="22" t="n">
        <f aca="false">Q104</f>
        <v>112.377</v>
      </c>
    </row>
    <row r="103" customFormat="false" ht="15" hidden="false" customHeight="false" outlineLevel="0" collapsed="false">
      <c r="A103" s="3" t="s">
        <v>138</v>
      </c>
      <c r="D103" s="4" t="n">
        <f aca="false">Data_Input!C23</f>
        <v>12.665</v>
      </c>
      <c r="E103" s="4" t="n">
        <f aca="false">Data_Input!D23</f>
        <v>-0.123</v>
      </c>
      <c r="F103" s="4" t="n">
        <f aca="false">Data_Input!E23</f>
        <v>-9.901</v>
      </c>
      <c r="G103" s="4" t="n">
        <f aca="false">Data_Input!F23</f>
        <v>-5.998</v>
      </c>
      <c r="H103" s="4" t="n">
        <f aca="false">Data_Input!G23</f>
        <v>-8.483</v>
      </c>
      <c r="I103" s="22" t="n">
        <f aca="false">I19</f>
        <v>0</v>
      </c>
      <c r="J103" s="22" t="n">
        <f aca="false">J19</f>
        <v>0</v>
      </c>
      <c r="K103" s="22" t="n">
        <f aca="false">K19</f>
        <v>0</v>
      </c>
      <c r="L103" s="22" t="n">
        <f aca="false">L19</f>
        <v>0</v>
      </c>
      <c r="M103" s="22" t="n">
        <f aca="false">M19</f>
        <v>0</v>
      </c>
      <c r="N103" s="22" t="n">
        <f aca="false">N19</f>
        <v>0</v>
      </c>
      <c r="O103" s="22" t="n">
        <f aca="false">O19</f>
        <v>0</v>
      </c>
      <c r="P103" s="22" t="n">
        <f aca="false">P19</f>
        <v>0</v>
      </c>
      <c r="Q103" s="22" t="n">
        <f aca="false">Q19</f>
        <v>0</v>
      </c>
      <c r="R103" s="22" t="n">
        <f aca="false">R19</f>
        <v>0</v>
      </c>
    </row>
    <row r="104" customFormat="false" ht="15" hidden="false" customHeight="false" outlineLevel="0" collapsed="false">
      <c r="A104" s="2" t="s">
        <v>139</v>
      </c>
      <c r="D104" s="26" t="n">
        <f aca="false">D102+D103</f>
        <v>136.522</v>
      </c>
      <c r="E104" s="26" t="n">
        <f aca="false">E102+E103</f>
        <v>136.399</v>
      </c>
      <c r="F104" s="26" t="n">
        <f aca="false">F102+F103</f>
        <v>126.498</v>
      </c>
      <c r="G104" s="26" t="n">
        <f aca="false">G102+G103</f>
        <v>120.5</v>
      </c>
      <c r="H104" s="26" t="n">
        <f aca="false">H102+H103</f>
        <v>112.017</v>
      </c>
      <c r="I104" s="26" t="n">
        <f aca="false">I102+I103</f>
        <v>112.377</v>
      </c>
      <c r="J104" s="26" t="n">
        <f aca="false">J102+J103</f>
        <v>112.377</v>
      </c>
      <c r="K104" s="26" t="n">
        <f aca="false">K102+K103</f>
        <v>112.377</v>
      </c>
      <c r="L104" s="26" t="n">
        <f aca="false">L102+L103</f>
        <v>112.377</v>
      </c>
      <c r="M104" s="26" t="n">
        <f aca="false">M102+M103</f>
        <v>112.377</v>
      </c>
      <c r="N104" s="26" t="n">
        <f aca="false">N102+N103</f>
        <v>112.377</v>
      </c>
      <c r="O104" s="26" t="n">
        <f aca="false">O102+O103</f>
        <v>112.377</v>
      </c>
      <c r="P104" s="26" t="n">
        <f aca="false">P102+P103</f>
        <v>112.377</v>
      </c>
      <c r="Q104" s="26" t="n">
        <f aca="false">Q102+Q103</f>
        <v>112.377</v>
      </c>
      <c r="R104" s="26" t="n">
        <f aca="false">R102+R103</f>
        <v>112.377</v>
      </c>
    </row>
    <row r="105" customFormat="false" ht="15" hidden="false" customHeight="false" outlineLevel="0" collapsed="false">
      <c r="A105" s="3" t="s">
        <v>140</v>
      </c>
      <c r="D105" s="22" t="n">
        <f aca="false">D33</f>
        <v>2.645</v>
      </c>
      <c r="E105" s="22" t="n">
        <f aca="false">E33</f>
        <v>2.931</v>
      </c>
      <c r="F105" s="22" t="n">
        <f aca="false">F33</f>
        <v>3.933</v>
      </c>
      <c r="G105" s="22" t="n">
        <f aca="false">G33</f>
        <v>3.7784</v>
      </c>
      <c r="H105" s="22" t="n">
        <f aca="false">H33</f>
        <v>3.5664</v>
      </c>
      <c r="I105" s="22" t="n">
        <f aca="false">I13*AVERAGE(I102,I104)</f>
        <v>3.37131</v>
      </c>
      <c r="J105" s="22" t="n">
        <f aca="false">J13*AVERAGE(J102,J104)</f>
        <v>3.37131</v>
      </c>
      <c r="K105" s="22" t="n">
        <f aca="false">K13*AVERAGE(K102,K104)</f>
        <v>3.37131</v>
      </c>
      <c r="L105" s="22" t="n">
        <f aca="false">L13*AVERAGE(L102,L104)</f>
        <v>3.37131</v>
      </c>
      <c r="M105" s="22" t="n">
        <f aca="false">M13*AVERAGE(M102,M104)</f>
        <v>3.37131</v>
      </c>
      <c r="N105" s="22" t="n">
        <f aca="false">N13*AVERAGE(N102,N104)</f>
        <v>3.37131</v>
      </c>
      <c r="O105" s="22" t="n">
        <f aca="false">O13*AVERAGE(O102,O104)</f>
        <v>3.37131</v>
      </c>
      <c r="P105" s="22" t="n">
        <f aca="false">P13*AVERAGE(P102,P104)</f>
        <v>3.37131</v>
      </c>
      <c r="Q105" s="22" t="n">
        <f aca="false">Q13*AVERAGE(Q102,Q104)</f>
        <v>3.37131</v>
      </c>
      <c r="R105" s="22" t="n">
        <f aca="false">R13*AVERAGE(R102,R104)</f>
        <v>3.37131</v>
      </c>
    </row>
    <row r="107" customFormat="false" ht="15" hidden="false" customHeight="false" outlineLevel="0" collapsed="false">
      <c r="A107" s="2" t="s">
        <v>141</v>
      </c>
    </row>
    <row r="108" customFormat="false" ht="15" hidden="false" customHeight="false" outlineLevel="0" collapsed="false">
      <c r="A108" s="3" t="s">
        <v>142</v>
      </c>
      <c r="I108" s="4" t="n">
        <f aca="false">Data_Input!C28</f>
        <v>0</v>
      </c>
      <c r="J108" s="22" t="n">
        <f aca="false">I110</f>
        <v>0</v>
      </c>
      <c r="K108" s="22" t="n">
        <f aca="false">J110</f>
        <v>0</v>
      </c>
      <c r="L108" s="22" t="n">
        <f aca="false">K110</f>
        <v>0</v>
      </c>
      <c r="M108" s="22" t="n">
        <f aca="false">L110</f>
        <v>0</v>
      </c>
      <c r="N108" s="22" t="n">
        <f aca="false">M110</f>
        <v>0</v>
      </c>
      <c r="O108" s="22" t="n">
        <f aca="false">N110</f>
        <v>0</v>
      </c>
      <c r="P108" s="22" t="n">
        <f aca="false">O110</f>
        <v>0</v>
      </c>
      <c r="Q108" s="22" t="n">
        <f aca="false">P110</f>
        <v>0</v>
      </c>
      <c r="R108" s="22" t="n">
        <f aca="false">Q110</f>
        <v>0</v>
      </c>
    </row>
    <row r="109" customFormat="false" ht="15" hidden="false" customHeight="false" outlineLevel="0" collapsed="false">
      <c r="A109" s="3" t="s">
        <v>143</v>
      </c>
      <c r="I109" s="22" t="n">
        <f aca="false">MIN(I108,MAX(I35,0))</f>
        <v>0</v>
      </c>
      <c r="J109" s="22" t="n">
        <f aca="false">MIN(J108,MAX(J35,0))</f>
        <v>0</v>
      </c>
      <c r="K109" s="22" t="n">
        <f aca="false">MIN(K108,MAX(K35,0))</f>
        <v>0</v>
      </c>
      <c r="L109" s="22" t="n">
        <f aca="false">MIN(L108,MAX(L35,0))</f>
        <v>0</v>
      </c>
      <c r="M109" s="22" t="n">
        <f aca="false">MIN(M108,MAX(M35,0))</f>
        <v>0</v>
      </c>
      <c r="N109" s="22" t="n">
        <f aca="false">MIN(N108,MAX(N35,0))</f>
        <v>0</v>
      </c>
      <c r="O109" s="22" t="n">
        <f aca="false">MIN(O108,MAX(O35,0))</f>
        <v>0</v>
      </c>
      <c r="P109" s="22" t="n">
        <f aca="false">MIN(P108,MAX(P35,0))</f>
        <v>0</v>
      </c>
      <c r="Q109" s="22" t="n">
        <f aca="false">MIN(Q108,MAX(Q35,0))</f>
        <v>0</v>
      </c>
      <c r="R109" s="22" t="n">
        <f aca="false">MIN(R108,MAX(R35,0))</f>
        <v>0</v>
      </c>
    </row>
    <row r="110" customFormat="false" ht="15" hidden="false" customHeight="false" outlineLevel="0" collapsed="false">
      <c r="A110" s="2" t="s">
        <v>144</v>
      </c>
      <c r="I110" s="26" t="n">
        <f aca="false">I108-I109</f>
        <v>0</v>
      </c>
      <c r="J110" s="26" t="n">
        <f aca="false">J108-J109</f>
        <v>0</v>
      </c>
      <c r="K110" s="26" t="n">
        <f aca="false">K108-K109</f>
        <v>0</v>
      </c>
      <c r="L110" s="26" t="n">
        <f aca="false">L108-L109</f>
        <v>0</v>
      </c>
      <c r="M110" s="26" t="n">
        <f aca="false">M108-M109</f>
        <v>0</v>
      </c>
      <c r="N110" s="26" t="n">
        <f aca="false">N108-N109</f>
        <v>0</v>
      </c>
      <c r="O110" s="26" t="n">
        <f aca="false">O108-O109</f>
        <v>0</v>
      </c>
      <c r="P110" s="26" t="n">
        <f aca="false">P108-P109</f>
        <v>0</v>
      </c>
      <c r="Q110" s="26" t="n">
        <f aca="false">Q108-Q109</f>
        <v>0</v>
      </c>
      <c r="R110" s="26" t="n">
        <f aca="false">R108-R109</f>
        <v>0</v>
      </c>
    </row>
    <row r="112" customFormat="false" ht="15" hidden="false" customHeight="false" outlineLevel="0" collapsed="false">
      <c r="A112" s="18" t="s">
        <v>145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 customFormat="false" ht="15" hidden="false" customHeight="false" outlineLevel="0" collapsed="false">
      <c r="A113" s="1" t="s">
        <v>146</v>
      </c>
    </row>
    <row r="116" customFormat="false" ht="15" hidden="true" customHeight="false" outlineLevel="0" collapsed="false"/>
    <row r="117" customFormat="false" ht="15" hidden="true" customHeight="false" outlineLevel="0" collapsed="false"/>
    <row r="118" customFormat="false" ht="15" hidden="true" customHeight="false" outlineLevel="0" collapsed="false"/>
    <row r="119" customFormat="false" ht="15" hidden="true" customHeight="false" outlineLevel="0" collapsed="false"/>
    <row r="120" customFormat="false" ht="15" hidden="true" customHeight="false" outlineLevel="0" collapsed="false"/>
    <row r="121" customFormat="false" ht="15" hidden="true" customHeight="false" outlineLevel="0" collapsed="false"/>
    <row r="122" customFormat="false" ht="15" hidden="true" customHeight="false" outlineLevel="0" collapsed="false"/>
    <row r="123" customFormat="false" ht="15" hidden="true" customHeight="false" outlineLevel="0" collapsed="false"/>
    <row r="124" customFormat="false" ht="15" hidden="true" customHeight="false" outlineLevel="0" collapsed="false"/>
    <row r="125" customFormat="false" ht="15" hidden="true" customHeight="false" outlineLevel="0" collapsed="false"/>
    <row r="126" customFormat="false" ht="15" hidden="true" customHeight="false" outlineLevel="0" collapsed="false"/>
    <row r="127" customFormat="false" ht="15" hidden="true" customHeight="false" outlineLevel="0" collapsed="false"/>
    <row r="128" customFormat="false" ht="15" hidden="true" customHeight="false" outlineLevel="0" collapsed="false"/>
    <row r="129" customFormat="false" ht="15" hidden="true" customHeight="false" outlineLevel="0" collapsed="false"/>
    <row r="130" customFormat="false" ht="15" hidden="true" customHeight="false" outlineLevel="0" collapsed="false"/>
    <row r="131" customFormat="false" ht="16.15" hidden="false" customHeight="false" outlineLevel="0" collapsed="false">
      <c r="A131" s="15" t="s">
        <v>147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</row>
    <row r="133" customFormat="false" ht="15" hidden="false" customHeight="false" outlineLevel="0" collapsed="false">
      <c r="A133" s="18" t="s">
        <v>148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</row>
    <row r="134" customFormat="false" ht="15" hidden="false" customHeight="false" outlineLevel="0" collapsed="false">
      <c r="A134" s="3" t="s">
        <v>149</v>
      </c>
      <c r="D134" s="30" t="n">
        <v>46219</v>
      </c>
    </row>
    <row r="135" customFormat="false" ht="15" hidden="false" customHeight="false" outlineLevel="0" collapsed="false">
      <c r="A135" s="3" t="s">
        <v>150</v>
      </c>
      <c r="D135" s="4" t="n">
        <v>333.74</v>
      </c>
    </row>
    <row r="136" customFormat="false" ht="15" hidden="false" customHeight="false" outlineLevel="0" collapsed="false">
      <c r="A136" s="3" t="s">
        <v>151</v>
      </c>
      <c r="D136" s="4" t="n">
        <v>14.688</v>
      </c>
    </row>
    <row r="137" customFormat="false" ht="15" hidden="false" customHeight="false" outlineLevel="0" collapsed="false">
      <c r="A137" s="3" t="s">
        <v>152</v>
      </c>
      <c r="D137" s="22" t="n">
        <f aca="false">D135*D136</f>
        <v>4901.97312</v>
      </c>
    </row>
    <row r="138" customFormat="false" ht="15" hidden="false" customHeight="false" outlineLevel="0" collapsed="false">
      <c r="A138" s="3" t="s">
        <v>153</v>
      </c>
      <c r="D138" s="31" t="n">
        <v>0.0432</v>
      </c>
    </row>
    <row r="139" customFormat="false" ht="15" hidden="false" customHeight="false" outlineLevel="0" collapsed="false">
      <c r="A139" s="3" t="s">
        <v>154</v>
      </c>
      <c r="D139" s="32" t="n">
        <v>18</v>
      </c>
    </row>
    <row r="140" customFormat="false" ht="15" hidden="false" customHeight="false" outlineLevel="0" collapsed="false">
      <c r="A140" s="3" t="s">
        <v>155</v>
      </c>
      <c r="D140" s="4" t="n">
        <v>4901.97</v>
      </c>
    </row>
    <row r="141" customFormat="false" ht="15" hidden="false" customHeight="false" outlineLevel="0" collapsed="false">
      <c r="A141" s="3" t="s">
        <v>156</v>
      </c>
      <c r="D141" s="4" t="n">
        <v>14.688</v>
      </c>
    </row>
    <row r="143" customFormat="false" ht="15" hidden="false" customHeight="false" outlineLevel="0" collapsed="false">
      <c r="A143" s="18" t="s">
        <v>157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</row>
    <row r="144" customFormat="false" ht="15" hidden="false" customHeight="false" outlineLevel="0" collapsed="false">
      <c r="H144" s="2" t="s">
        <v>158</v>
      </c>
      <c r="S144" s="2" t="s">
        <v>159</v>
      </c>
    </row>
    <row r="145" customFormat="false" ht="15" hidden="false" customHeight="false" outlineLevel="0" collapsed="false">
      <c r="A145" s="3" t="s">
        <v>160</v>
      </c>
      <c r="H145" s="33" t="n">
        <v>46219</v>
      </c>
      <c r="I145" s="33" t="n">
        <v>46291</v>
      </c>
      <c r="J145" s="33" t="n">
        <f aca="false">EDATE(I145,12)</f>
        <v>46656</v>
      </c>
      <c r="K145" s="33" t="n">
        <f aca="false">EDATE(J145,12)</f>
        <v>47022</v>
      </c>
      <c r="L145" s="33" t="n">
        <f aca="false">EDATE(K145,12)</f>
        <v>47387</v>
      </c>
      <c r="M145" s="33" t="n">
        <f aca="false">EDATE(L145,12)</f>
        <v>47752</v>
      </c>
      <c r="N145" s="33" t="n">
        <f aca="false">EDATE(M145,12)</f>
        <v>48117</v>
      </c>
      <c r="O145" s="33" t="n">
        <f aca="false">EDATE(N145,12)</f>
        <v>48483</v>
      </c>
      <c r="P145" s="33" t="n">
        <f aca="false">EDATE(O145,12)</f>
        <v>48848</v>
      </c>
      <c r="Q145" s="33" t="n">
        <f aca="false">EDATE(P145,12)</f>
        <v>49213</v>
      </c>
      <c r="R145" s="33" t="n">
        <f aca="false">EDATE(Q145,12)</f>
        <v>49578</v>
      </c>
      <c r="S145" s="33" t="n">
        <f aca="false">R145</f>
        <v>49578</v>
      </c>
    </row>
    <row r="146" customFormat="false" ht="15" hidden="false" customHeight="false" outlineLevel="0" collapsed="false">
      <c r="A146" s="1" t="s">
        <v>161</v>
      </c>
      <c r="I146" s="34" t="n">
        <v>0</v>
      </c>
      <c r="J146" s="34" t="n">
        <v>1</v>
      </c>
      <c r="K146" s="34" t="n">
        <v>2</v>
      </c>
      <c r="L146" s="34" t="n">
        <v>3</v>
      </c>
      <c r="M146" s="34" t="n">
        <v>4</v>
      </c>
      <c r="N146" s="34" t="n">
        <v>5</v>
      </c>
      <c r="O146" s="34" t="n">
        <v>6</v>
      </c>
      <c r="P146" s="34" t="n">
        <v>7</v>
      </c>
      <c r="Q146" s="34" t="n">
        <v>8</v>
      </c>
      <c r="R146" s="34" t="n">
        <v>9</v>
      </c>
    </row>
    <row r="147" customFormat="false" ht="15" hidden="false" customHeight="false" outlineLevel="0" collapsed="false">
      <c r="A147" s="1" t="s">
        <v>162</v>
      </c>
      <c r="I147" s="35" t="n">
        <f aca="false">YEARFRAC($H$145,I145,1)</f>
        <v>0.197260273972603</v>
      </c>
      <c r="J147" s="35" t="n">
        <f aca="false">YEARFRAC(I145,J145,1)</f>
        <v>1</v>
      </c>
      <c r="K147" s="35" t="n">
        <f aca="false">YEARFRAC(J145,K145,1)</f>
        <v>1</v>
      </c>
      <c r="L147" s="35" t="n">
        <f aca="false">YEARFRAC(K145,L145,1)</f>
        <v>1</v>
      </c>
      <c r="M147" s="35" t="n">
        <f aca="false">YEARFRAC(L145,M145,1)</f>
        <v>1</v>
      </c>
      <c r="N147" s="35" t="n">
        <f aca="false">YEARFRAC(M145,N145,1)</f>
        <v>1</v>
      </c>
      <c r="O147" s="35" t="n">
        <f aca="false">YEARFRAC(N145,O145,1)</f>
        <v>1</v>
      </c>
      <c r="P147" s="35" t="n">
        <f aca="false">YEARFRAC(O145,P145,1)</f>
        <v>1</v>
      </c>
      <c r="Q147" s="35" t="n">
        <f aca="false">YEARFRAC(P145,Q145,1)</f>
        <v>1</v>
      </c>
      <c r="R147" s="35" t="n">
        <f aca="false">YEARFRAC(Q145,R145,1)</f>
        <v>1</v>
      </c>
    </row>
    <row r="148" customFormat="false" ht="15" hidden="false" customHeight="false" outlineLevel="0" collapsed="false">
      <c r="A148" s="1" t="s">
        <v>163</v>
      </c>
      <c r="I148" s="35" t="n">
        <f aca="false">I147</f>
        <v>0.197260273972603</v>
      </c>
      <c r="J148" s="35" t="n">
        <f aca="false">I148+J147</f>
        <v>1.1972602739726</v>
      </c>
      <c r="K148" s="35" t="n">
        <f aca="false">J148+K147</f>
        <v>2.1972602739726</v>
      </c>
      <c r="L148" s="35" t="n">
        <f aca="false">K148+L147</f>
        <v>3.1972602739726</v>
      </c>
      <c r="M148" s="35" t="n">
        <f aca="false">L148+M147</f>
        <v>4.1972602739726</v>
      </c>
      <c r="N148" s="35" t="n">
        <f aca="false">M148+N147</f>
        <v>5.1972602739726</v>
      </c>
      <c r="O148" s="35" t="n">
        <f aca="false">N148+O147</f>
        <v>6.1972602739726</v>
      </c>
      <c r="P148" s="35" t="n">
        <f aca="false">O148+P147</f>
        <v>7.1972602739726</v>
      </c>
      <c r="Q148" s="35" t="n">
        <f aca="false">P148+Q147</f>
        <v>8.1972602739726</v>
      </c>
      <c r="R148" s="35" t="n">
        <f aca="false">Q148+R147</f>
        <v>9.1972602739726</v>
      </c>
    </row>
    <row r="149" customFormat="false" ht="15" hidden="false" customHeight="false" outlineLevel="0" collapsed="false">
      <c r="A149" s="3" t="s">
        <v>164</v>
      </c>
      <c r="I149" s="31" t="n">
        <v>0.0895</v>
      </c>
      <c r="J149" s="31" t="n">
        <v>0.0892</v>
      </c>
      <c r="K149" s="31" t="n">
        <v>0.0888</v>
      </c>
      <c r="L149" s="31" t="n">
        <v>0.0885</v>
      </c>
      <c r="M149" s="31" t="n">
        <v>0.0882</v>
      </c>
      <c r="N149" s="31" t="n">
        <v>0.0879</v>
      </c>
      <c r="O149" s="31" t="n">
        <v>0.0876</v>
      </c>
      <c r="P149" s="31" t="n">
        <v>0.0873</v>
      </c>
      <c r="Q149" s="31" t="n">
        <v>0.0869</v>
      </c>
      <c r="R149" s="31" t="n">
        <v>0.0866</v>
      </c>
    </row>
    <row r="150" customFormat="false" ht="15" hidden="false" customHeight="false" outlineLevel="0" collapsed="false">
      <c r="A150" s="1" t="s">
        <v>165</v>
      </c>
      <c r="I150" s="36" t="n">
        <f aca="false">1/(1+I149)^I147</f>
        <v>0.983233224741497</v>
      </c>
      <c r="J150" s="36" t="n">
        <f aca="false">I150/(1+J149)^J147</f>
        <v>0.902711370493478</v>
      </c>
      <c r="K150" s="36" t="n">
        <f aca="false">J150/(1+K149)^K147</f>
        <v>0.829088327051321</v>
      </c>
      <c r="L150" s="36" t="n">
        <f aca="false">K150/(1+L149)^L147</f>
        <v>0.761679675747654</v>
      </c>
      <c r="M150" s="36" t="n">
        <f aca="false">L150/(1+M149)^M147</f>
        <v>0.699944565105361</v>
      </c>
      <c r="N150" s="36" t="n">
        <f aca="false">M150/(1+N149)^N147</f>
        <v>0.643390536910893</v>
      </c>
      <c r="O150" s="36" t="n">
        <f aca="false">N150/(1+O149)^O147</f>
        <v>0.591569085059667</v>
      </c>
      <c r="P150" s="36" t="n">
        <f aca="false">O150/(1+P149)^P147</f>
        <v>0.544071631619302</v>
      </c>
      <c r="Q150" s="36" t="n">
        <f aca="false">P150/(1+Q149)^Q147</f>
        <v>0.500571930830161</v>
      </c>
      <c r="R150" s="36" t="n">
        <f aca="false">Q150/(1+R149)^R147</f>
        <v>0.460677278511099</v>
      </c>
    </row>
    <row r="151" customFormat="false" ht="15" hidden="false" customHeight="false" outlineLevel="0" collapsed="false">
      <c r="A151" s="3" t="s">
        <v>166</v>
      </c>
      <c r="I151" s="22" t="n">
        <f aca="false">I35+I33</f>
        <v>142.246312924</v>
      </c>
      <c r="J151" s="22" t="n">
        <f aca="false">J35+J33</f>
        <v>150.840585112452</v>
      </c>
      <c r="K151" s="22" t="n">
        <f aca="false">K35+K33</f>
        <v>161.404010696008</v>
      </c>
      <c r="L151" s="22" t="n">
        <f aca="false">L35+L33</f>
        <v>171.550265217008</v>
      </c>
      <c r="M151" s="22" t="n">
        <f aca="false">M35+M33</f>
        <v>182.420673825985</v>
      </c>
      <c r="N151" s="22" t="n">
        <f aca="false">N35+N33</f>
        <v>192.697414328625</v>
      </c>
      <c r="O151" s="22" t="n">
        <f aca="false">O35+O33</f>
        <v>203.87634747969</v>
      </c>
      <c r="P151" s="22" t="n">
        <f aca="false">P35+P33</f>
        <v>214.680276346968</v>
      </c>
      <c r="Q151" s="22" t="n">
        <f aca="false">Q35+Q33</f>
        <v>226.521078754006</v>
      </c>
      <c r="R151" s="22" t="n">
        <f aca="false">R35+R33</f>
        <v>238.024635579913</v>
      </c>
    </row>
    <row r="152" customFormat="false" ht="15" hidden="false" customHeight="false" outlineLevel="0" collapsed="false">
      <c r="A152" s="3" t="s">
        <v>167</v>
      </c>
      <c r="I152" s="22" t="n">
        <f aca="false">-MAX(I151,0)*I14</f>
        <v>-24.18187319708</v>
      </c>
      <c r="J152" s="22" t="n">
        <f aca="false">-MAX(J151,0)*J14</f>
        <v>-25.6428994691169</v>
      </c>
      <c r="K152" s="22" t="n">
        <f aca="false">-MAX(K151,0)*K14</f>
        <v>-27.4386818183213</v>
      </c>
      <c r="L152" s="22" t="n">
        <f aca="false">-MAX(L151,0)*L14</f>
        <v>-29.1635450868913</v>
      </c>
      <c r="M152" s="22" t="n">
        <f aca="false">-MAX(M151,0)*M14</f>
        <v>-31.0115145504175</v>
      </c>
      <c r="N152" s="22" t="n">
        <f aca="false">-MAX(N151,0)*N14</f>
        <v>-32.7585604358663</v>
      </c>
      <c r="O152" s="22" t="n">
        <f aca="false">-MAX(O151,0)*O14</f>
        <v>-34.6589790715473</v>
      </c>
      <c r="P152" s="22" t="n">
        <f aca="false">-MAX(P151,0)*P14</f>
        <v>-36.4956469789845</v>
      </c>
      <c r="Q152" s="22" t="n">
        <f aca="false">-MAX(Q151,0)*Q14</f>
        <v>-38.5085833881811</v>
      </c>
      <c r="R152" s="22" t="n">
        <f aca="false">-MAX(R151,0)*R14</f>
        <v>-40.4641880485852</v>
      </c>
    </row>
    <row r="153" customFormat="false" ht="15" hidden="false" customHeight="false" outlineLevel="0" collapsed="false">
      <c r="A153" s="3" t="s">
        <v>168</v>
      </c>
      <c r="I153" s="22" t="n">
        <f aca="false">I32</f>
        <v>11.703534</v>
      </c>
      <c r="J153" s="22" t="n">
        <f aca="false">J32</f>
        <v>11.805954814</v>
      </c>
      <c r="K153" s="22" t="n">
        <f aca="false">K32</f>
        <v>11.939784383694</v>
      </c>
      <c r="L153" s="22" t="n">
        <f aca="false">L32</f>
        <v>12.1025414173822</v>
      </c>
      <c r="M153" s="22" t="n">
        <f aca="false">M32</f>
        <v>12.291940645409</v>
      </c>
      <c r="N153" s="22" t="n">
        <f aca="false">N32</f>
        <v>12.5058773344217</v>
      </c>
      <c r="O153" s="22" t="n">
        <f aca="false">O32</f>
        <v>12.7029130250024</v>
      </c>
      <c r="P153" s="22" t="n">
        <f aca="false">P32</f>
        <v>12.8843828960272</v>
      </c>
      <c r="Q153" s="22" t="n">
        <f aca="false">Q32</f>
        <v>13.051516647241</v>
      </c>
      <c r="R153" s="22" t="n">
        <f aca="false">R32</f>
        <v>13.205446832109</v>
      </c>
    </row>
    <row r="154" customFormat="false" ht="15" hidden="false" customHeight="false" outlineLevel="0" collapsed="false">
      <c r="A154" s="3" t="s">
        <v>169</v>
      </c>
      <c r="I154" s="22" t="n">
        <f aca="false">-I97</f>
        <v>-13</v>
      </c>
      <c r="J154" s="22" t="n">
        <f aca="false">-J97</f>
        <v>-13.5</v>
      </c>
      <c r="K154" s="22" t="n">
        <f aca="false">-K97</f>
        <v>-14</v>
      </c>
      <c r="L154" s="22" t="n">
        <f aca="false">-L97</f>
        <v>-14.5</v>
      </c>
      <c r="M154" s="22" t="n">
        <f aca="false">-M97</f>
        <v>-15</v>
      </c>
      <c r="N154" s="22" t="n">
        <f aca="false">-N97</f>
        <v>-15</v>
      </c>
      <c r="O154" s="22" t="n">
        <f aca="false">-O97</f>
        <v>-15</v>
      </c>
      <c r="P154" s="22" t="n">
        <f aca="false">-P97</f>
        <v>-15</v>
      </c>
      <c r="Q154" s="22" t="n">
        <f aca="false">-Q97</f>
        <v>-15</v>
      </c>
      <c r="R154" s="22" t="n">
        <f aca="false">-R97</f>
        <v>-15</v>
      </c>
    </row>
    <row r="155" customFormat="false" ht="15" hidden="false" customHeight="false" outlineLevel="0" collapsed="false">
      <c r="A155" s="3" t="s">
        <v>170</v>
      </c>
      <c r="I155" s="22" t="n">
        <f aca="false">-I93</f>
        <v>13.882064364548</v>
      </c>
      <c r="J155" s="22" t="n">
        <f aca="false">-J93</f>
        <v>6.46070416876506</v>
      </c>
      <c r="K155" s="22" t="n">
        <f aca="false">-K93</f>
        <v>5.3797485714298</v>
      </c>
      <c r="L155" s="22" t="n">
        <f aca="false">-L93</f>
        <v>5.26652163925326</v>
      </c>
      <c r="M155" s="22" t="n">
        <f aca="false">-M93</f>
        <v>5.24035262449681</v>
      </c>
      <c r="N155" s="22" t="n">
        <f aca="false">-N93</f>
        <v>5.4077544019174</v>
      </c>
      <c r="O155" s="22" t="n">
        <f aca="false">-O93</f>
        <v>5.49057168140186</v>
      </c>
      <c r="P155" s="22" t="n">
        <f aca="false">-P93</f>
        <v>5.42469983788277</v>
      </c>
      <c r="Q155" s="22" t="n">
        <f aca="false">-Q93</f>
        <v>5.48015394561011</v>
      </c>
      <c r="R155" s="22" t="n">
        <f aca="false">-R93</f>
        <v>5.52629884213073</v>
      </c>
    </row>
    <row r="156" customFormat="false" ht="15" hidden="false" customHeight="false" outlineLevel="0" collapsed="false">
      <c r="A156" s="2" t="s">
        <v>171</v>
      </c>
      <c r="I156" s="26" t="n">
        <f aca="false">SUM(I151:I155)</f>
        <v>130.650038091468</v>
      </c>
      <c r="J156" s="26" t="n">
        <f aca="false">SUM(J151:J155)</f>
        <v>129.9643446261</v>
      </c>
      <c r="K156" s="26" t="n">
        <f aca="false">SUM(K151:K155)</f>
        <v>137.28486183281</v>
      </c>
      <c r="L156" s="26" t="n">
        <f aca="false">SUM(L151:L155)</f>
        <v>145.255783186752</v>
      </c>
      <c r="M156" s="26" t="n">
        <f aca="false">SUM(M151:M155)</f>
        <v>153.941452545473</v>
      </c>
      <c r="N156" s="26" t="n">
        <f aca="false">SUM(N151:N155)</f>
        <v>162.852485629098</v>
      </c>
      <c r="O156" s="26" t="n">
        <f aca="false">SUM(O151:O155)</f>
        <v>172.410853114547</v>
      </c>
      <c r="P156" s="26" t="n">
        <f aca="false">SUM(P151:P155)</f>
        <v>181.493712101893</v>
      </c>
      <c r="Q156" s="26" t="n">
        <f aca="false">SUM(Q151:Q155)</f>
        <v>191.544165958676</v>
      </c>
      <c r="R156" s="26" t="n">
        <f aca="false">SUM(R151:R155)</f>
        <v>201.292193205568</v>
      </c>
    </row>
    <row r="157" customFormat="false" ht="15" hidden="false" customHeight="false" outlineLevel="0" collapsed="false">
      <c r="A157" s="3" t="s">
        <v>172</v>
      </c>
      <c r="H157" s="22" t="n">
        <f aca="false">-($D$140+$H$52-$H$44)</f>
        <v>-4881.927</v>
      </c>
      <c r="S157" s="22" t="n">
        <f aca="false">$D$164</f>
        <v>4680.28751534931</v>
      </c>
    </row>
    <row r="158" customFormat="false" ht="15" hidden="false" customHeight="false" outlineLevel="0" collapsed="false">
      <c r="A158" s="3" t="s">
        <v>173</v>
      </c>
      <c r="H158" s="29" t="n">
        <v>0</v>
      </c>
      <c r="I158" s="29" t="n">
        <f aca="false">I156*I147</f>
        <v>25.772062308454</v>
      </c>
      <c r="J158" s="29" t="n">
        <f aca="false">J156*J147</f>
        <v>129.9643446261</v>
      </c>
      <c r="K158" s="29" t="n">
        <f aca="false">K156*K147</f>
        <v>137.28486183281</v>
      </c>
      <c r="L158" s="29" t="n">
        <f aca="false">L156*L147</f>
        <v>145.255783186752</v>
      </c>
      <c r="M158" s="29" t="n">
        <f aca="false">M156*M147</f>
        <v>153.941452545473</v>
      </c>
      <c r="N158" s="29" t="n">
        <f aca="false">N156*N147</f>
        <v>162.852485629098</v>
      </c>
      <c r="O158" s="29" t="n">
        <f aca="false">O156*O147</f>
        <v>172.410853114547</v>
      </c>
      <c r="P158" s="29" t="n">
        <f aca="false">P156*P147</f>
        <v>181.493712101893</v>
      </c>
      <c r="Q158" s="29" t="n">
        <f aca="false">Q156*Q147</f>
        <v>191.544165958676</v>
      </c>
      <c r="R158" s="29" t="n">
        <f aca="false">R156*R147</f>
        <v>201.292193205568</v>
      </c>
      <c r="S158" s="29" t="n">
        <f aca="false">S157</f>
        <v>4680.28751534931</v>
      </c>
    </row>
    <row r="159" customFormat="false" ht="15" hidden="false" customHeight="false" outlineLevel="0" collapsed="false">
      <c r="A159" s="3" t="s">
        <v>173</v>
      </c>
      <c r="H159" s="22" t="n">
        <f aca="false">H157</f>
        <v>-4881.927</v>
      </c>
      <c r="I159" s="22" t="n">
        <f aca="false">I158</f>
        <v>25.772062308454</v>
      </c>
      <c r="J159" s="22" t="n">
        <f aca="false">J158</f>
        <v>129.9643446261</v>
      </c>
      <c r="K159" s="22" t="n">
        <f aca="false">K158</f>
        <v>137.28486183281</v>
      </c>
      <c r="L159" s="22" t="n">
        <f aca="false">L158</f>
        <v>145.255783186752</v>
      </c>
      <c r="M159" s="22" t="n">
        <f aca="false">M158</f>
        <v>153.941452545473</v>
      </c>
      <c r="N159" s="22" t="n">
        <f aca="false">N158</f>
        <v>162.852485629098</v>
      </c>
      <c r="O159" s="22" t="n">
        <f aca="false">O158</f>
        <v>172.410853114547</v>
      </c>
      <c r="P159" s="22" t="n">
        <f aca="false">P158</f>
        <v>181.493712101893</v>
      </c>
      <c r="Q159" s="22" t="n">
        <f aca="false">Q158</f>
        <v>191.544165958676</v>
      </c>
      <c r="R159" s="22" t="n">
        <f aca="false">R158</f>
        <v>201.292193205568</v>
      </c>
      <c r="S159" s="22" t="n">
        <f aca="false">S158</f>
        <v>4680.28751534931</v>
      </c>
    </row>
    <row r="161" customFormat="false" ht="15" hidden="false" customHeight="false" outlineLevel="0" collapsed="false">
      <c r="A161" s="18" t="s">
        <v>174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</row>
    <row r="162" customFormat="false" ht="15" hidden="false" customHeight="false" outlineLevel="0" collapsed="false">
      <c r="A162" s="3" t="s">
        <v>175</v>
      </c>
      <c r="D162" s="22" t="n">
        <f aca="false">R156*(1+$D$138)/(R149-$D$138)</f>
        <v>4838.43354728222</v>
      </c>
    </row>
    <row r="163" customFormat="false" ht="15" hidden="false" customHeight="false" outlineLevel="0" collapsed="false">
      <c r="A163" s="3" t="s">
        <v>176</v>
      </c>
      <c r="D163" s="37" t="n">
        <f aca="false">$D$139*(R151+R153)</f>
        <v>4522.1414834164</v>
      </c>
    </row>
    <row r="164" customFormat="false" ht="15" hidden="false" customHeight="false" outlineLevel="0" collapsed="false">
      <c r="A164" s="2" t="s">
        <v>177</v>
      </c>
      <c r="D164" s="25" t="n">
        <f aca="false">AVERAGE(D162:D163)</f>
        <v>4680.28751534931</v>
      </c>
    </row>
    <row r="165" customFormat="false" ht="15" hidden="false" customHeight="false" outlineLevel="0" collapsed="false">
      <c r="A165" s="3" t="s">
        <v>178</v>
      </c>
      <c r="D165" s="38" t="n">
        <f aca="false">D162/(R151+R153)</f>
        <v>19.2589736898907</v>
      </c>
      <c r="E165" s="38" t="n">
        <f aca="false">$D$139</f>
        <v>18</v>
      </c>
      <c r="F165" s="1" t="s">
        <v>179</v>
      </c>
    </row>
    <row r="166" customFormat="false" ht="15" hidden="false" customHeight="false" outlineLevel="0" collapsed="false">
      <c r="A166" s="18" t="s">
        <v>180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</row>
    <row r="167" customFormat="false" ht="15" hidden="false" customHeight="false" outlineLevel="0" collapsed="false">
      <c r="A167" s="3" t="s">
        <v>181</v>
      </c>
      <c r="D167" s="22" t="n">
        <f aca="false">SUMPRODUCT(I158:R158,I150:R150)+S158*R150</f>
        <v>3125.1011237374</v>
      </c>
    </row>
    <row r="168" customFormat="false" ht="15" hidden="false" customHeight="false" outlineLevel="0" collapsed="false">
      <c r="A168" s="3" t="s">
        <v>182</v>
      </c>
      <c r="D168" s="22" t="n">
        <f aca="false">H44</f>
        <v>132.42</v>
      </c>
    </row>
    <row r="169" customFormat="false" ht="15" hidden="false" customHeight="false" outlineLevel="0" collapsed="false">
      <c r="A169" s="3" t="s">
        <v>183</v>
      </c>
      <c r="D169" s="37" t="n">
        <f aca="false">H52</f>
        <v>112.377</v>
      </c>
    </row>
    <row r="170" customFormat="false" ht="15" hidden="false" customHeight="false" outlineLevel="0" collapsed="false">
      <c r="A170" s="2" t="s">
        <v>184</v>
      </c>
      <c r="D170" s="25" t="n">
        <f aca="false">D167+D168-D169</f>
        <v>3145.1441237374</v>
      </c>
    </row>
    <row r="171" customFormat="false" ht="15" hidden="false" customHeight="false" outlineLevel="0" collapsed="false">
      <c r="A171" s="2" t="s">
        <v>185</v>
      </c>
      <c r="D171" s="25" t="n">
        <f aca="false">D170/$D$136</f>
        <v>214.130182716326</v>
      </c>
    </row>
    <row r="173" customFormat="false" ht="15" hidden="false" customHeight="false" outlineLevel="0" collapsed="false">
      <c r="A173" s="18" t="s">
        <v>186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</row>
    <row r="174" customFormat="false" ht="15" hidden="false" customHeight="false" outlineLevel="0" collapsed="false">
      <c r="A174" s="3" t="s">
        <v>187</v>
      </c>
      <c r="D174" s="22" t="n">
        <f aca="false">$D$137</f>
        <v>4901.97312</v>
      </c>
    </row>
    <row r="175" customFormat="false" ht="15" hidden="false" customHeight="false" outlineLevel="0" collapsed="false">
      <c r="A175" s="3" t="s">
        <v>188</v>
      </c>
      <c r="D175" s="22" t="n">
        <f aca="false">H52</f>
        <v>112.377</v>
      </c>
    </row>
    <row r="176" customFormat="false" ht="15" hidden="false" customHeight="false" outlineLevel="0" collapsed="false">
      <c r="A176" s="3" t="s">
        <v>189</v>
      </c>
      <c r="D176" s="37" t="n">
        <f aca="false">H44</f>
        <v>132.42</v>
      </c>
    </row>
    <row r="177" customFormat="false" ht="15" hidden="false" customHeight="false" outlineLevel="0" collapsed="false">
      <c r="A177" s="2" t="s">
        <v>190</v>
      </c>
      <c r="D177" s="25" t="n">
        <f aca="false">D174+D175-D176</f>
        <v>4881.93012</v>
      </c>
    </row>
    <row r="178" customFormat="false" ht="15" hidden="false" customHeight="false" outlineLevel="0" collapsed="false">
      <c r="A178" s="2" t="s">
        <v>150</v>
      </c>
      <c r="D178" s="25" t="n">
        <f aca="false">$D$135</f>
        <v>333.74</v>
      </c>
    </row>
    <row r="180" customFormat="false" ht="15" hidden="false" customHeight="false" outlineLevel="0" collapsed="false">
      <c r="A180" s="18" t="s">
        <v>191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</row>
    <row r="181" customFormat="false" ht="15" hidden="false" customHeight="false" outlineLevel="0" collapsed="false">
      <c r="A181" s="3" t="s">
        <v>192</v>
      </c>
      <c r="D181" s="39" t="n">
        <f aca="false">D171/$D$135-1</f>
        <v>-0.358392213350734</v>
      </c>
    </row>
    <row r="182" customFormat="false" ht="15" hidden="false" customHeight="false" outlineLevel="0" collapsed="false">
      <c r="A182" s="3" t="s">
        <v>193</v>
      </c>
      <c r="D182" s="39" t="n">
        <f aca="false">XIRR(H159:S159,H145:S145)</f>
        <v>0.029093703189469</v>
      </c>
    </row>
    <row r="183" customFormat="false" ht="15" hidden="false" customHeight="false" outlineLevel="0" collapsed="false">
      <c r="A183" s="2" t="s">
        <v>194</v>
      </c>
      <c r="D183" s="40" t="n">
        <f aca="false">(($D$171/$D$135)^(1/10))*(1+AVERAGE(I149:R149))-1</f>
        <v>0.040820448198478</v>
      </c>
      <c r="E183" s="1" t="s">
        <v>195</v>
      </c>
    </row>
    <row r="184" customFormat="false" ht="15" hidden="false" customHeight="false" outlineLevel="0" collapsed="false">
      <c r="A184" s="18" t="s">
        <v>196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</row>
    <row r="185" customFormat="false" ht="15" hidden="false" customHeight="false" outlineLevel="0" collapsed="false">
      <c r="A185" s="1" t="s">
        <v>197</v>
      </c>
      <c r="I185" s="34" t="n">
        <f aca="false">YEAR(I145)</f>
        <v>2026</v>
      </c>
      <c r="J185" s="34" t="n">
        <f aca="false">YEAR(J145)</f>
        <v>2027</v>
      </c>
      <c r="K185" s="34" t="n">
        <f aca="false">YEAR(K145)</f>
        <v>2028</v>
      </c>
      <c r="L185" s="34" t="n">
        <f aca="false">YEAR(L145)</f>
        <v>2029</v>
      </c>
      <c r="M185" s="34" t="n">
        <f aca="false">YEAR(M145)</f>
        <v>2030</v>
      </c>
      <c r="N185" s="34" t="n">
        <f aca="false">YEAR(N145)</f>
        <v>2031</v>
      </c>
      <c r="O185" s="34" t="n">
        <f aca="false">YEAR(O145)</f>
        <v>2032</v>
      </c>
      <c r="P185" s="34" t="n">
        <f aca="false">YEAR(P145)</f>
        <v>2033</v>
      </c>
      <c r="Q185" s="34" t="n">
        <f aca="false">YEAR(Q145)</f>
        <v>2034</v>
      </c>
      <c r="R185" s="34" t="n">
        <f aca="false">YEAR(R145)</f>
        <v>2035</v>
      </c>
    </row>
    <row r="186" customFormat="false" ht="15" hidden="false" customHeight="false" outlineLevel="0" collapsed="false">
      <c r="A186" s="3" t="s">
        <v>198</v>
      </c>
      <c r="I186" s="22" t="n">
        <f aca="false">$D$167*(1+I149)^I147-I158</f>
        <v>3152.62045444058</v>
      </c>
      <c r="J186" s="22" t="n">
        <f aca="false">I186*(1+J149)^J147-J158</f>
        <v>3303.86985435058</v>
      </c>
      <c r="K186" s="22" t="n">
        <f aca="false">J186*(1+K149)^K147-K158</f>
        <v>3459.9686355841</v>
      </c>
      <c r="L186" s="22" t="n">
        <f aca="false">K186*(1+L149)^L147-L158</f>
        <v>3620.92007664655</v>
      </c>
      <c r="M186" s="22" t="n">
        <f aca="false">L186*(1+M149)^M147-M158</f>
        <v>3786.3437748613</v>
      </c>
      <c r="N186" s="22" t="n">
        <f aca="false">M186*(1+N149)^N147-N158</f>
        <v>3956.31090704251</v>
      </c>
      <c r="O186" s="22" t="n">
        <f aca="false">N186*(1+O149)^O147-O158</f>
        <v>4130.47288938489</v>
      </c>
      <c r="P186" s="22" t="n">
        <f aca="false">O186*(1+P149)^P147-P158</f>
        <v>4309.56946052629</v>
      </c>
      <c r="Q186" s="22" t="n">
        <f aca="false">P186*(1+Q149)^Q147-Q158</f>
        <v>4492.52688068735</v>
      </c>
      <c r="R186" s="22" t="n">
        <f aca="false">Q186*(1+R149)^R147-R158</f>
        <v>4680.28751534931</v>
      </c>
    </row>
    <row r="187" customFormat="false" ht="15" hidden="false" customHeight="false" outlineLevel="0" collapsed="false">
      <c r="A187" s="2" t="s">
        <v>199</v>
      </c>
      <c r="I187" s="25" t="n">
        <f aca="false">I186+$H$44-$H$52</f>
        <v>3172.66345444058</v>
      </c>
      <c r="J187" s="25" t="n">
        <f aca="false">J186+$H$44-$H$52</f>
        <v>3323.91285435058</v>
      </c>
      <c r="K187" s="25" t="n">
        <f aca="false">K186+$H$44-$H$52</f>
        <v>3480.0116355841</v>
      </c>
      <c r="L187" s="25" t="n">
        <f aca="false">L186+$H$44-$H$52</f>
        <v>3640.96307664655</v>
      </c>
      <c r="M187" s="25" t="n">
        <f aca="false">M186+$H$44-$H$52</f>
        <v>3806.3867748613</v>
      </c>
      <c r="N187" s="25" t="n">
        <f aca="false">N186+$H$44-$H$52</f>
        <v>3976.35390704251</v>
      </c>
      <c r="O187" s="25" t="n">
        <f aca="false">O186+$H$44-$H$52</f>
        <v>4150.51588938489</v>
      </c>
      <c r="P187" s="25" t="n">
        <f aca="false">P186+$H$44-$H$52</f>
        <v>4329.61246052629</v>
      </c>
      <c r="Q187" s="25" t="n">
        <f aca="false">Q186+$H$44-$H$52</f>
        <v>4512.56988068735</v>
      </c>
      <c r="R187" s="25" t="n">
        <f aca="false">R186+$H$44-$H$52</f>
        <v>4700.33051534931</v>
      </c>
    </row>
    <row r="188" customFormat="false" ht="15" hidden="false" customHeight="false" outlineLevel="0" collapsed="false">
      <c r="A188" s="3" t="s">
        <v>200</v>
      </c>
      <c r="I188" s="22" t="n">
        <f aca="false">I187/$D$136</f>
        <v>216.003775492959</v>
      </c>
      <c r="J188" s="22" t="n">
        <f aca="false">J187/$D$136</f>
        <v>226.301256423651</v>
      </c>
      <c r="K188" s="22" t="n">
        <f aca="false">K187/$D$136</f>
        <v>236.928896758177</v>
      </c>
      <c r="L188" s="22" t="n">
        <f aca="false">L187/$D$136</f>
        <v>247.886919706328</v>
      </c>
      <c r="M188" s="22" t="n">
        <f aca="false">M187/$D$136</f>
        <v>259.149426393062</v>
      </c>
      <c r="N188" s="22" t="n">
        <f aca="false">N187/$D$136</f>
        <v>270.721262734376</v>
      </c>
      <c r="O188" s="22" t="n">
        <f aca="false">O187/$D$136</f>
        <v>282.578696172718</v>
      </c>
      <c r="P188" s="22" t="n">
        <f aca="false">P187/$D$136</f>
        <v>294.772090177444</v>
      </c>
      <c r="Q188" s="22" t="n">
        <f aca="false">Q187/$D$136</f>
        <v>307.228341550065</v>
      </c>
      <c r="R188" s="22" t="n">
        <f aca="false">R187/$D$136</f>
        <v>320.011609160492</v>
      </c>
    </row>
    <row r="189" customFormat="false" ht="15" hidden="false" customHeight="false" outlineLevel="0" collapsed="false">
      <c r="A189" s="1" t="s">
        <v>201</v>
      </c>
    </row>
    <row r="190" customFormat="false" ht="15" hidden="false" customHeight="false" outlineLevel="0" collapsed="false">
      <c r="A190" s="1" t="s">
        <v>202</v>
      </c>
    </row>
    <row r="191" customFormat="false" ht="15" hidden="false" customHeight="false" outlineLevel="0" collapsed="false">
      <c r="A191" s="14" t="s">
        <v>203</v>
      </c>
    </row>
    <row r="192" customFormat="false" ht="15" hidden="false" customHeight="false" outlineLevel="0" collapsed="false">
      <c r="A192" s="14" t="s">
        <v>204</v>
      </c>
    </row>
    <row r="193" customFormat="false" ht="15" hidden="false" customHeight="false" outlineLevel="0" collapsed="false">
      <c r="A193" s="14" t="s">
        <v>205</v>
      </c>
    </row>
    <row r="197" customFormat="false" ht="15" hidden="true" customHeight="false" outlineLevel="0" collapsed="false"/>
    <row r="198" customFormat="false" ht="15" hidden="true" customHeight="false" outlineLevel="0" collapsed="false"/>
    <row r="199" customFormat="false" ht="15" hidden="true" customHeight="false" outlineLevel="0" collapsed="false"/>
    <row r="200" customFormat="false" ht="16.15" hidden="false" customHeight="false" outlineLevel="0" collapsed="false">
      <c r="A200" s="41" t="s">
        <v>206</v>
      </c>
    </row>
    <row r="201" customFormat="false" ht="15" hidden="false" customHeight="false" outlineLevel="0" collapsed="false">
      <c r="A201" s="2" t="s">
        <v>207</v>
      </c>
      <c r="F201" s="2" t="s">
        <v>208</v>
      </c>
      <c r="G201" s="2" t="s">
        <v>209</v>
      </c>
    </row>
    <row r="202" customFormat="false" ht="15" hidden="false" customHeight="false" outlineLevel="0" collapsed="false">
      <c r="A202" s="3" t="s">
        <v>210</v>
      </c>
      <c r="F202" s="21" t="n">
        <v>0.6</v>
      </c>
      <c r="G202" s="1" t="s">
        <v>211</v>
      </c>
    </row>
    <row r="203" customFormat="false" ht="15" hidden="false" customHeight="false" outlineLevel="0" collapsed="false">
      <c r="A203" s="3" t="s">
        <v>212</v>
      </c>
      <c r="F203" s="21" t="n">
        <v>0.7</v>
      </c>
      <c r="G203" s="1" t="s">
        <v>213</v>
      </c>
    </row>
    <row r="204" customFormat="false" ht="15" hidden="false" customHeight="false" outlineLevel="0" collapsed="false">
      <c r="A204" s="3" t="s">
        <v>214</v>
      </c>
      <c r="F204" s="21" t="n">
        <v>0.4</v>
      </c>
      <c r="G204" s="1" t="s">
        <v>215</v>
      </c>
    </row>
    <row r="205" customFormat="false" ht="15" hidden="false" customHeight="false" outlineLevel="0" collapsed="false">
      <c r="A205" s="3" t="s">
        <v>216</v>
      </c>
      <c r="F205" s="21" t="n">
        <v>0.6</v>
      </c>
      <c r="G205" s="1" t="s">
        <v>217</v>
      </c>
    </row>
    <row r="206" customFormat="false" ht="15" hidden="false" customHeight="false" outlineLevel="0" collapsed="false">
      <c r="A206" s="3" t="s">
        <v>218</v>
      </c>
      <c r="F206" s="21" t="n">
        <v>0.85</v>
      </c>
      <c r="G206" s="1" t="s">
        <v>219</v>
      </c>
    </row>
    <row r="207" customFormat="false" ht="15" hidden="false" customHeight="false" outlineLevel="0" collapsed="false">
      <c r="A207" s="3" t="s">
        <v>220</v>
      </c>
      <c r="F207" s="21" t="n">
        <v>0.25</v>
      </c>
      <c r="G207" s="1" t="s">
        <v>221</v>
      </c>
    </row>
    <row r="214" customFormat="false" ht="15" hidden="true" customHeight="false" outlineLevel="0" collapsed="false"/>
    <row r="215" customFormat="false" ht="15" hidden="true" customHeight="false" outlineLevel="0" collapsed="false"/>
    <row r="216" customFormat="false" ht="15" hidden="true" customHeight="false" outlineLevel="0" collapsed="false"/>
    <row r="217" customFormat="false" ht="15" hidden="true" customHeight="false" outlineLevel="0" collapsed="false"/>
    <row r="218" customFormat="false" ht="15" hidden="true" customHeight="false" outlineLevel="0" collapsed="false"/>
    <row r="219" customFormat="false" ht="15" hidden="true" customHeight="false" outlineLevel="0" collapsed="false"/>
    <row r="220" customFormat="false" ht="15" hidden="true" customHeight="false" outlineLevel="0" collapsed="false"/>
    <row r="221" customFormat="false" ht="15" hidden="true" customHeight="false" outlineLevel="0" collapsed="false"/>
    <row r="222" customFormat="false" ht="15" hidden="true" customHeight="false" outlineLevel="0" collapsed="false"/>
    <row r="223" customFormat="false" ht="15" hidden="true" customHeight="false" outlineLevel="0" collapsed="false"/>
    <row r="224" customFormat="false" ht="15" hidden="true" customHeight="false" outlineLevel="0" collapsed="false"/>
    <row r="225" customFormat="false" ht="15" hidden="true" customHeight="false" outlineLevel="0" collapsed="false"/>
    <row r="226" customFormat="false" ht="15" hidden="true" customHeight="false" outlineLevel="0" collapsed="false"/>
    <row r="227" customFormat="false" ht="15" hidden="true" customHeight="false" outlineLevel="0" collapsed="false"/>
    <row r="228" customFormat="false" ht="15" hidden="true" customHeight="false" outlineLevel="0" collapsed="false"/>
    <row r="229" customFormat="false" ht="15" hidden="true" customHeight="false" outlineLevel="0" collapsed="false"/>
    <row r="230" customFormat="false" ht="15" hidden="true" customHeight="false" outlineLevel="0" collapsed="false"/>
    <row r="231" customFormat="false" ht="15" hidden="true" customHeight="false" outlineLevel="0" collapsed="false"/>
    <row r="232" customFormat="false" ht="15" hidden="true" customHeight="false" outlineLevel="0" collapsed="false"/>
    <row r="233" customFormat="false" ht="15" hidden="true" customHeight="false" outlineLevel="0" collapsed="false"/>
    <row r="234" customFormat="false" ht="15" hidden="true" customHeight="false" outlineLevel="0" collapsed="false"/>
    <row r="235" customFormat="false" ht="15" hidden="true" customHeight="false" outlineLevel="0" collapsed="false"/>
    <row r="236" customFormat="false" ht="15" hidden="true" customHeight="false" outlineLevel="0" collapsed="false"/>
    <row r="237" customFormat="false" ht="15" hidden="true" customHeight="false" outlineLevel="0" collapsed="false"/>
    <row r="238" customFormat="false" ht="15" hidden="true" customHeight="false" outlineLevel="0" collapsed="false"/>
    <row r="239" customFormat="false" ht="15" hidden="true" customHeight="false" outlineLevel="0" collapsed="false"/>
    <row r="240" customFormat="false" ht="15" hidden="true" customHeight="false" outlineLevel="0" collapsed="false"/>
    <row r="241" customFormat="false" ht="15" hidden="true" customHeight="false" outlineLevel="0" collapsed="false"/>
    <row r="242" customFormat="false" ht="15" hidden="true" customHeight="false" outlineLevel="0" collapsed="false"/>
    <row r="243" customFormat="false" ht="15" hidden="true" customHeight="false" outlineLevel="0" collapsed="false"/>
    <row r="244" customFormat="false" ht="16.15" hidden="false" customHeight="false" outlineLevel="0" collapsed="false">
      <c r="A244" s="15" t="s">
        <v>222</v>
      </c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</row>
    <row r="245" customFormat="false" ht="15" hidden="false" customHeight="false" outlineLevel="0" collapsed="false">
      <c r="A245" s="3" t="s">
        <v>223</v>
      </c>
      <c r="D245" s="31" t="n">
        <v>0.0455</v>
      </c>
    </row>
    <row r="246" customFormat="false" ht="15" hidden="false" customHeight="false" outlineLevel="0" collapsed="false">
      <c r="A246" s="3" t="s">
        <v>224</v>
      </c>
      <c r="D246" s="31" t="n">
        <v>-0.0023</v>
      </c>
    </row>
    <row r="247" customFormat="false" ht="15" hidden="false" customHeight="false" outlineLevel="0" collapsed="false">
      <c r="A247" s="3" t="s">
        <v>225</v>
      </c>
      <c r="D247" s="31" t="n">
        <v>0.0432</v>
      </c>
    </row>
    <row r="248" customFormat="false" ht="15" hidden="false" customHeight="false" outlineLevel="0" collapsed="false">
      <c r="A248" s="3" t="s">
        <v>226</v>
      </c>
      <c r="D248" s="31" t="n">
        <v>0.0446</v>
      </c>
    </row>
    <row r="249" customFormat="false" ht="15" hidden="false" customHeight="false" outlineLevel="0" collapsed="false">
      <c r="A249" s="3" t="s">
        <v>227</v>
      </c>
      <c r="D249" s="31" t="n">
        <v>0.0878</v>
      </c>
    </row>
    <row r="250" customFormat="false" ht="15" hidden="false" customHeight="false" outlineLevel="0" collapsed="false">
      <c r="A250" s="3" t="s">
        <v>228</v>
      </c>
      <c r="D250" s="31" t="n">
        <v>0</v>
      </c>
    </row>
    <row r="251" customFormat="false" ht="15" hidden="false" customHeight="false" outlineLevel="0" collapsed="false">
      <c r="A251" s="3" t="s">
        <v>229</v>
      </c>
      <c r="D251" s="4" t="n">
        <v>1.065</v>
      </c>
    </row>
    <row r="252" customFormat="false" ht="15" hidden="false" customHeight="false" outlineLevel="0" collapsed="false">
      <c r="A252" s="3" t="s">
        <v>230</v>
      </c>
      <c r="D252" s="31" t="n">
        <v>0</v>
      </c>
    </row>
    <row r="253" customFormat="false" ht="15" hidden="false" customHeight="false" outlineLevel="0" collapsed="false">
      <c r="A253" s="2" t="s">
        <v>231</v>
      </c>
      <c r="D253" s="42" t="n">
        <f aca="false">D247+D251*D248+D252</f>
        <v>0.090699</v>
      </c>
      <c r="F253" s="1" t="s">
        <v>232</v>
      </c>
    </row>
    <row r="254" customFormat="false" ht="15" hidden="false" customHeight="false" outlineLevel="0" collapsed="false">
      <c r="A254" s="3" t="s">
        <v>233</v>
      </c>
      <c r="D254" s="31" t="n">
        <v>0.0477</v>
      </c>
      <c r="F254" s="1" t="s">
        <v>234</v>
      </c>
    </row>
    <row r="255" customFormat="false" ht="15" hidden="false" customHeight="false" outlineLevel="0" collapsed="false">
      <c r="A255" s="3" t="s">
        <v>235</v>
      </c>
      <c r="D255" s="43" t="n">
        <v>0.0358</v>
      </c>
    </row>
    <row r="256" customFormat="false" ht="15" hidden="false" customHeight="false" outlineLevel="0" collapsed="false">
      <c r="A256" s="2" t="s">
        <v>236</v>
      </c>
      <c r="D256" s="42" t="n">
        <f aca="false">D253*(1-D262)+D255*D262</f>
        <v>0.0894692624</v>
      </c>
    </row>
    <row r="257" customFormat="false" ht="15" hidden="false" customHeight="false" outlineLevel="0" collapsed="false">
      <c r="A257" s="1" t="s">
        <v>237</v>
      </c>
      <c r="D257" s="44" t="n">
        <f aca="false">$D$138-D247</f>
        <v>0</v>
      </c>
      <c r="F257" s="1" t="s">
        <v>238</v>
      </c>
    </row>
    <row r="258" customFormat="false" ht="15" hidden="false" customHeight="false" outlineLevel="0" collapsed="false">
      <c r="A258" s="3" t="s">
        <v>239</v>
      </c>
      <c r="D258" s="31" t="n">
        <v>0</v>
      </c>
    </row>
    <row r="259" customFormat="false" ht="15" hidden="false" customHeight="false" outlineLevel="0" collapsed="false">
      <c r="A259" s="2" t="s">
        <v>240</v>
      </c>
      <c r="D259" s="42" t="n">
        <f aca="false">D256+D258</f>
        <v>0.0894692624</v>
      </c>
    </row>
    <row r="260" customFormat="false" ht="15" hidden="false" customHeight="false" outlineLevel="0" collapsed="false">
      <c r="A260" s="1" t="s">
        <v>241</v>
      </c>
      <c r="D260" s="44" t="n">
        <f aca="false">I149-D259</f>
        <v>3.0737599999997E-005</v>
      </c>
      <c r="F260" s="1" t="s">
        <v>242</v>
      </c>
    </row>
    <row r="261" customFormat="false" ht="15" hidden="false" customHeight="false" outlineLevel="0" collapsed="false">
      <c r="A261" s="2" t="s">
        <v>243</v>
      </c>
    </row>
    <row r="262" customFormat="false" ht="15" hidden="false" customHeight="false" outlineLevel="0" collapsed="false">
      <c r="A262" s="3" t="s">
        <v>244</v>
      </c>
      <c r="D262" s="31" t="n">
        <v>0.0224</v>
      </c>
      <c r="F262" s="1" t="s">
        <v>245</v>
      </c>
    </row>
    <row r="263" customFormat="false" ht="15" hidden="false" customHeight="false" outlineLevel="0" collapsed="false">
      <c r="A263" s="2" t="s">
        <v>246</v>
      </c>
      <c r="D263" s="42" t="n">
        <f aca="false">1-D262</f>
        <v>0.9776</v>
      </c>
    </row>
    <row r="264" customFormat="false" ht="15" hidden="false" customHeight="false" outlineLevel="0" collapsed="false">
      <c r="A264" s="1" t="s">
        <v>247</v>
      </c>
      <c r="D264" s="44" t="n">
        <f aca="false">D262+D263</f>
        <v>1</v>
      </c>
    </row>
    <row r="265" customFormat="false" ht="15" hidden="false" customHeight="false" outlineLevel="0" collapsed="false">
      <c r="A265" s="3" t="s">
        <v>248</v>
      </c>
      <c r="D265" s="43" t="n">
        <f aca="false">D253*D263</f>
        <v>0.0886673424</v>
      </c>
    </row>
    <row r="266" customFormat="false" ht="15" hidden="false" customHeight="false" outlineLevel="0" collapsed="false">
      <c r="A266" s="3" t="s">
        <v>249</v>
      </c>
      <c r="D266" s="43" t="n">
        <f aca="false">D255*D262</f>
        <v>0.00080192</v>
      </c>
    </row>
    <row r="267" customFormat="false" ht="15" hidden="false" customHeight="false" outlineLevel="0" collapsed="false">
      <c r="A267" s="2" t="s">
        <v>250</v>
      </c>
      <c r="D267" s="42" t="n">
        <f aca="false">D265+D266</f>
        <v>0.0894692624</v>
      </c>
    </row>
    <row r="268" customFormat="false" ht="15" hidden="false" customHeight="false" outlineLevel="0" collapsed="false">
      <c r="A268" s="1" t="s">
        <v>251</v>
      </c>
    </row>
    <row r="271" customFormat="false" ht="15" hidden="true" customHeight="false" outlineLevel="0" collapsed="false"/>
    <row r="272" customFormat="false" ht="15" hidden="true" customHeight="false" outlineLevel="0" collapsed="false"/>
    <row r="273" customFormat="false" ht="15" hidden="true" customHeight="false" outlineLevel="0" collapsed="false"/>
    <row r="274" customFormat="false" ht="15" hidden="true" customHeight="false" outlineLevel="0" collapsed="false"/>
    <row r="275" customFormat="false" ht="16.15" hidden="false" customHeight="false" outlineLevel="0" collapsed="false">
      <c r="A275" s="15" t="s">
        <v>252</v>
      </c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</row>
    <row r="277" customFormat="false" ht="15" hidden="false" customHeight="false" outlineLevel="0" collapsed="false">
      <c r="A277" s="3" t="s">
        <v>10</v>
      </c>
      <c r="D277" s="22" t="n">
        <f aca="false">D26</f>
        <v>365.817</v>
      </c>
      <c r="E277" s="22" t="n">
        <f aca="false">E26</f>
        <v>394.328</v>
      </c>
      <c r="F277" s="22" t="n">
        <f aca="false">F26</f>
        <v>383.285</v>
      </c>
      <c r="G277" s="22" t="n">
        <f aca="false">G26</f>
        <v>391.035</v>
      </c>
      <c r="H277" s="22" t="n">
        <f aca="false">H26</f>
        <v>416.161</v>
      </c>
      <c r="I277" s="22" t="n">
        <f aca="false">I26</f>
        <v>441.13066</v>
      </c>
      <c r="J277" s="22" t="n">
        <f aca="false">J26</f>
        <v>466.71623828</v>
      </c>
      <c r="K277" s="22" t="n">
        <f aca="false">K26</f>
        <v>492.3856313854</v>
      </c>
      <c r="L277" s="22" t="n">
        <f aca="false">L26</f>
        <v>517.989684217441</v>
      </c>
      <c r="M277" s="22" t="n">
        <f aca="false">M26</f>
        <v>543.889168428313</v>
      </c>
      <c r="N277" s="22" t="n">
        <f aca="false">N26</f>
        <v>569.995848512872</v>
      </c>
      <c r="O277" s="22" t="n">
        <f aca="false">O26</f>
        <v>596.785653392977</v>
      </c>
      <c r="P277" s="22" t="n">
        <f aca="false">P26</f>
        <v>623.641007795661</v>
      </c>
      <c r="Q277" s="22" t="n">
        <f aca="false">Q26</f>
        <v>651.08121213867</v>
      </c>
      <c r="R277" s="22" t="n">
        <f aca="false">R26</f>
        <v>679.077704260633</v>
      </c>
    </row>
    <row r="278" customFormat="false" ht="15" hidden="false" customHeight="false" outlineLevel="0" collapsed="false">
      <c r="A278" s="3" t="s">
        <v>253</v>
      </c>
      <c r="D278" s="20" t="n">
        <f aca="false">D28/D26</f>
        <v>0.417793596251678</v>
      </c>
      <c r="E278" s="20" t="n">
        <f aca="false">E28/E26</f>
        <v>0.433096305613601</v>
      </c>
      <c r="F278" s="20" t="n">
        <f aca="false">F28/F26</f>
        <v>0.441311295772076</v>
      </c>
      <c r="G278" s="20" t="n">
        <f aca="false">G28/G26</f>
        <v>0.462063498152339</v>
      </c>
      <c r="H278" s="20" t="n">
        <f aca="false">H28/H26</f>
        <v>0.469051641071604</v>
      </c>
      <c r="I278" s="20" t="n">
        <f aca="false">I28/I26</f>
        <v>0.467</v>
      </c>
      <c r="J278" s="20" t="n">
        <f aca="false">J28/J26</f>
        <v>0.4665</v>
      </c>
      <c r="K278" s="20" t="n">
        <f aca="false">K28/K26</f>
        <v>0.469</v>
      </c>
      <c r="L278" s="20" t="n">
        <f aca="false">L28/L26</f>
        <v>0.4715</v>
      </c>
      <c r="M278" s="20" t="n">
        <f aca="false">M28/M26</f>
        <v>0.474</v>
      </c>
      <c r="N278" s="20" t="n">
        <f aca="false">N28/N26</f>
        <v>0.476</v>
      </c>
      <c r="O278" s="20" t="n">
        <f aca="false">O28/O26</f>
        <v>0.478</v>
      </c>
      <c r="P278" s="20" t="n">
        <f aca="false">P28/P26</f>
        <v>0.48</v>
      </c>
      <c r="Q278" s="20" t="n">
        <f aca="false">Q28/Q26</f>
        <v>0.482</v>
      </c>
      <c r="R278" s="20" t="n">
        <f aca="false">R28/R26</f>
        <v>0.484</v>
      </c>
    </row>
    <row r="280" customFormat="false" ht="15" hidden="false" customHeight="false" outlineLevel="0" collapsed="false">
      <c r="A280" s="3" t="s">
        <v>112</v>
      </c>
      <c r="E280" s="22" t="n">
        <f aca="false">E69</f>
        <v>118.731</v>
      </c>
      <c r="F280" s="22" t="n">
        <f aca="false">F69</f>
        <v>100.612</v>
      </c>
      <c r="G280" s="22" t="n">
        <f aca="false">G69</f>
        <v>117.3846</v>
      </c>
      <c r="H280" s="22" t="n">
        <f aca="false">H69</f>
        <v>99.4766</v>
      </c>
      <c r="I280" s="22" t="n">
        <f aca="false">I69</f>
        <v>140.851850791468</v>
      </c>
      <c r="J280" s="22" t="n">
        <f aca="false">J69</f>
        <v>140.6661573261</v>
      </c>
      <c r="K280" s="22" t="n">
        <f aca="false">K69</f>
        <v>148.48667453281</v>
      </c>
      <c r="L280" s="22" t="n">
        <f aca="false">L69</f>
        <v>156.957595886752</v>
      </c>
      <c r="M280" s="22" t="n">
        <f aca="false">M69</f>
        <v>166.143265245473</v>
      </c>
      <c r="N280" s="22" t="n">
        <f aca="false">N69</f>
        <v>175.054298329098</v>
      </c>
      <c r="O280" s="22" t="n">
        <f aca="false">O69</f>
        <v>184.612665814547</v>
      </c>
      <c r="P280" s="22" t="n">
        <f aca="false">P69</f>
        <v>193.695524801893</v>
      </c>
      <c r="Q280" s="22" t="n">
        <f aca="false">Q69</f>
        <v>203.745978658676</v>
      </c>
      <c r="R280" s="22" t="n">
        <f aca="false">R69</f>
        <v>213.494005905568</v>
      </c>
    </row>
    <row r="281" customFormat="false" ht="15" hidden="false" customHeight="false" outlineLevel="0" collapsed="false">
      <c r="A281" s="3" t="s">
        <v>116</v>
      </c>
      <c r="E281" s="22" t="n">
        <f aca="false">-E73</f>
        <v>-10.708</v>
      </c>
      <c r="F281" s="22" t="n">
        <f aca="false">-F73</f>
        <v>-10.959</v>
      </c>
      <c r="G281" s="22" t="n">
        <f aca="false">-G73</f>
        <v>-9.447</v>
      </c>
      <c r="H281" s="22" t="n">
        <f aca="false">-H73</f>
        <v>-12.715</v>
      </c>
      <c r="I281" s="22" t="n">
        <f aca="false">-I73</f>
        <v>-13</v>
      </c>
      <c r="J281" s="22" t="n">
        <f aca="false">-J73</f>
        <v>-13.5</v>
      </c>
      <c r="K281" s="22" t="n">
        <f aca="false">-K73</f>
        <v>-14</v>
      </c>
      <c r="L281" s="22" t="n">
        <f aca="false">-L73</f>
        <v>-14.5</v>
      </c>
      <c r="M281" s="22" t="n">
        <f aca="false">-M73</f>
        <v>-15</v>
      </c>
      <c r="N281" s="22" t="n">
        <f aca="false">-N73</f>
        <v>-15</v>
      </c>
      <c r="O281" s="22" t="n">
        <f aca="false">-O73</f>
        <v>-15</v>
      </c>
      <c r="P281" s="22" t="n">
        <f aca="false">-P73</f>
        <v>-15</v>
      </c>
      <c r="Q281" s="22" t="n">
        <f aca="false">-Q73</f>
        <v>-15</v>
      </c>
      <c r="R281" s="22" t="n">
        <f aca="false">-R73</f>
        <v>-15</v>
      </c>
    </row>
    <row r="282" customFormat="false" ht="15" hidden="false" customHeight="false" outlineLevel="0" collapsed="false">
      <c r="A282" s="3" t="s">
        <v>119</v>
      </c>
      <c r="E282" s="22" t="n">
        <f aca="false">E78</f>
        <v>-89.525</v>
      </c>
      <c r="F282" s="22" t="n">
        <f aca="false">F78</f>
        <v>-87.451</v>
      </c>
      <c r="G282" s="22" t="n">
        <f aca="false">G78</f>
        <v>-100.947</v>
      </c>
      <c r="H282" s="22" t="n">
        <f aca="false">H78</f>
        <v>-99.194</v>
      </c>
      <c r="I282" s="22" t="n">
        <f aca="false">I78</f>
        <v>-105</v>
      </c>
      <c r="J282" s="22" t="n">
        <f aca="false">J78</f>
        <v>-105</v>
      </c>
      <c r="K282" s="22" t="n">
        <f aca="false">K78</f>
        <v>-105</v>
      </c>
      <c r="L282" s="22" t="n">
        <f aca="false">L78</f>
        <v>-105</v>
      </c>
      <c r="M282" s="22" t="n">
        <f aca="false">M78</f>
        <v>-105</v>
      </c>
      <c r="N282" s="22" t="n">
        <f aca="false">N78</f>
        <v>-105</v>
      </c>
      <c r="O282" s="22" t="n">
        <f aca="false">O78</f>
        <v>-105</v>
      </c>
      <c r="P282" s="22" t="n">
        <f aca="false">P78</f>
        <v>-105</v>
      </c>
      <c r="Q282" s="22" t="n">
        <f aca="false">Q78</f>
        <v>-105</v>
      </c>
      <c r="R282" s="22" t="n">
        <f aca="false">R78</f>
        <v>-105</v>
      </c>
    </row>
  </sheetData>
  <mergeCells count="3">
    <mergeCell ref="A1:C2"/>
    <mergeCell ref="D1:H1"/>
    <mergeCell ref="I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5"/>
    <col collapsed="false" customWidth="true" hidden="false" outlineLevel="0" max="10" min="9" style="0" width="10"/>
  </cols>
  <sheetData>
    <row r="1" customFormat="false" ht="15" hidden="false" customHeight="false" outlineLevel="0" collapsed="false">
      <c r="A1" s="45" t="s">
        <v>254</v>
      </c>
      <c r="B1" s="45"/>
      <c r="C1" s="45"/>
      <c r="D1" s="45"/>
      <c r="E1" s="45"/>
      <c r="F1" s="45"/>
      <c r="G1" s="45"/>
      <c r="H1" s="45"/>
      <c r="I1" s="45"/>
      <c r="J1" s="45"/>
    </row>
    <row r="2" customFormat="false" ht="15" hidden="false" customHeight="false" outlineLevel="0" collapsed="false">
      <c r="A2" s="45"/>
      <c r="B2" s="45"/>
      <c r="C2" s="45"/>
      <c r="D2" s="45"/>
      <c r="E2" s="45"/>
      <c r="F2" s="45"/>
      <c r="G2" s="45"/>
      <c r="H2" s="45"/>
      <c r="I2" s="45"/>
      <c r="J2" s="45"/>
    </row>
    <row r="3" customFormat="false" ht="15" hidden="false" customHeight="false" outlineLevel="0" collapsed="false">
      <c r="A3" s="13" t="s">
        <v>255</v>
      </c>
    </row>
    <row r="5" customFormat="false" ht="16.15" hidden="false" customHeight="false" outlineLevel="0" collapsed="false">
      <c r="A5" s="15" t="s">
        <v>256</v>
      </c>
      <c r="B5" s="16"/>
      <c r="C5" s="16"/>
      <c r="D5" s="16"/>
      <c r="E5" s="16"/>
      <c r="F5" s="16"/>
      <c r="G5" s="16"/>
      <c r="H5" s="16"/>
      <c r="I5" s="16"/>
      <c r="J5" s="16"/>
    </row>
    <row r="7" customFormat="false" ht="15" hidden="false" customHeight="false" outlineLevel="0" collapsed="false">
      <c r="B7" s="46" t="n">
        <f aca="false">'Financial Model &amp; DCF'!$D$138+-0.005</f>
        <v>0.0382</v>
      </c>
      <c r="C7" s="46" t="n">
        <f aca="false">'Financial Model &amp; DCF'!$D$138+-0.0025</f>
        <v>0.0407</v>
      </c>
      <c r="D7" s="46" t="n">
        <f aca="false">'Financial Model &amp; DCF'!$D$138+0</f>
        <v>0.0432</v>
      </c>
      <c r="E7" s="46" t="n">
        <f aca="false">'Financial Model &amp; DCF'!$D$138+0.0025</f>
        <v>0.0457</v>
      </c>
      <c r="F7" s="46" t="n">
        <f aca="false">'Financial Model &amp; DCF'!$D$138+0.005</f>
        <v>0.0482</v>
      </c>
    </row>
    <row r="8" customFormat="false" ht="15" hidden="false" customHeight="false" outlineLevel="0" collapsed="false">
      <c r="A8" s="42" t="n">
        <f aca="false">'Financial Model &amp; DCF'!$R$149+-0.02</f>
        <v>0.0666</v>
      </c>
      <c r="B8" s="47" t="n">
        <f aca="false">(SUMPRODUCT('Financial Model &amp; DCF'!$I$158:$R$158,(1+$A8)^-('Financial Model &amp; DCF'!$I$148:$R$148))+'Financial Model &amp; DCF'!$R$156*(1+B$7)/($A8-B$7)*(1+$A8)^-'Financial Model &amp; DCF'!$R$148-('Financial Model &amp; DCF'!$H$52-'Financial Model &amp; DCF'!$H$44))/'Financial Model &amp; DCF'!$D$136</f>
        <v>351.153983730014</v>
      </c>
      <c r="C8" s="47" t="n">
        <f aca="false">(SUMPRODUCT('Financial Model &amp; DCF'!$I$158:$R$158,(1+$A8)^-('Financial Model &amp; DCF'!$I$148:$R$148))+'Financial Model &amp; DCF'!$R$156*(1+C$7)/($A8-C$7)*(1+$A8)^-'Financial Model &amp; DCF'!$R$148-('Financial Model &amp; DCF'!$H$52-'Financial Model &amp; DCF'!$H$44))/'Financial Model &amp; DCF'!$D$136</f>
        <v>378.610784883619</v>
      </c>
      <c r="D8" s="47" t="n">
        <f aca="false">(SUMPRODUCT('Financial Model &amp; DCF'!$I$158:$R$158,(1+$A8)^-('Financial Model &amp; DCF'!$I$148:$R$148))+'Financial Model &amp; DCF'!$R$156*(1+D$7)/($A8-D$7)*(1+$A8)^-'Financial Model &amp; DCF'!$R$148-('Financial Model &amp; DCF'!$H$52-'Financial Model &amp; DCF'!$H$44))/'Financial Model &amp; DCF'!$D$136</f>
        <v>411.934423890557</v>
      </c>
      <c r="E8" s="47" t="n">
        <f aca="false">(SUMPRODUCT('Financial Model &amp; DCF'!$I$158:$R$158,(1+$A8)^-('Financial Model &amp; DCF'!$I$148:$R$148))+'Financial Model &amp; DCF'!$R$156*(1+E$7)/($A8-E$7)*(1+$A8)^-'Financial Model &amp; DCF'!$R$148-('Financial Model &amp; DCF'!$H$52-'Financial Model &amp; DCF'!$H$44))/'Financial Model &amp; DCF'!$D$136</f>
        <v>453.230225339347</v>
      </c>
      <c r="F8" s="47" t="n">
        <f aca="false">(SUMPRODUCT('Financial Model &amp; DCF'!$I$158:$R$158,(1+$A8)^-('Financial Model &amp; DCF'!$I$148:$R$148))+'Financial Model &amp; DCF'!$R$156*(1+F$7)/($A8-F$7)*(1+$A8)^-'Financial Model &amp; DCF'!$R$148-('Financial Model &amp; DCF'!$H$52-'Financial Model &amp; DCF'!$H$44))/'Financial Model &amp; DCF'!$D$136</f>
        <v>505.747711964439</v>
      </c>
    </row>
    <row r="9" customFormat="false" ht="15" hidden="false" customHeight="false" outlineLevel="0" collapsed="false">
      <c r="A9" s="42" t="n">
        <f aca="false">'Financial Model &amp; DCF'!$R$149+-0.01</f>
        <v>0.0766</v>
      </c>
      <c r="B9" s="47" t="n">
        <f aca="false">(SUMPRODUCT('Financial Model &amp; DCF'!$I$158:$R$158,(1+$A9)^-('Financial Model &amp; DCF'!$I$148:$R$148))+'Financial Model &amp; DCF'!$R$156*(1+B$7)/($A9-B$7)*(1+$A9)^-'Financial Model &amp; DCF'!$R$148-('Financial Model &amp; DCF'!$H$52-'Financial Model &amp; DCF'!$H$44))/'Financial Model &amp; DCF'!$D$136</f>
        <v>258.893915555448</v>
      </c>
      <c r="C9" s="47" t="n">
        <f aca="false">(SUMPRODUCT('Financial Model &amp; DCF'!$I$158:$R$158,(1+$A9)^-('Financial Model &amp; DCF'!$I$148:$R$148))+'Financial Model &amp; DCF'!$R$156*(1+C$7)/($A9-C$7)*(1+$A9)^-'Financial Model &amp; DCF'!$R$148-('Financial Model &amp; DCF'!$H$52-'Financial Model &amp; DCF'!$H$44))/'Financial Model &amp; DCF'!$D$136</f>
        <v>272.465187245613</v>
      </c>
      <c r="D9" s="47" t="n">
        <f aca="false">(SUMPRODUCT('Financial Model &amp; DCF'!$I$158:$R$158,(1+$A9)^-('Financial Model &amp; DCF'!$I$148:$R$148))+'Financial Model &amp; DCF'!$R$156*(1+D$7)/($A9-D$7)*(1+$A9)^-'Financial Model &amp; DCF'!$R$148-('Financial Model &amp; DCF'!$H$52-'Financial Model &amp; DCF'!$H$44))/'Financial Model &amp; DCF'!$D$136</f>
        <v>288.068086434307</v>
      </c>
      <c r="E9" s="47" t="n">
        <f aca="false">(SUMPRODUCT('Financial Model &amp; DCF'!$I$158:$R$158,(1+$A9)^-('Financial Model &amp; DCF'!$I$148:$R$148))+'Financial Model &amp; DCF'!$R$156*(1+E$7)/($A9-E$7)*(1+$A9)^-'Financial Model &amp; DCF'!$R$148-('Financial Model &amp; DCF'!$H$52-'Financial Model &amp; DCF'!$H$44))/'Financial Model &amp; DCF'!$D$136</f>
        <v>306.195726592044</v>
      </c>
      <c r="F9" s="47" t="n">
        <f aca="false">(SUMPRODUCT('Financial Model &amp; DCF'!$I$158:$R$158,(1+$A9)^-('Financial Model &amp; DCF'!$I$148:$R$148))+'Financial Model &amp; DCF'!$R$156*(1+F$7)/($A9-F$7)*(1+$A9)^-'Financial Model &amp; DCF'!$R$148-('Financial Model &amp; DCF'!$H$52-'Financial Model &amp; DCF'!$H$44))/'Financial Model &amp; DCF'!$D$136</f>
        <v>327.514852693045</v>
      </c>
    </row>
    <row r="10" customFormat="false" ht="15" hidden="false" customHeight="false" outlineLevel="0" collapsed="false">
      <c r="A10" s="42" t="n">
        <f aca="false">'Financial Model &amp; DCF'!$R$149+0</f>
        <v>0.0866</v>
      </c>
      <c r="B10" s="47" t="n">
        <f aca="false">(SUMPRODUCT('Financial Model &amp; DCF'!$I$158:$R$158,(1+$A10)^-('Financial Model &amp; DCF'!$I$148:$R$148))+'Financial Model &amp; DCF'!$R$156*(1+B$7)/($A10-B$7)*(1+$A10)^-'Financial Model &amp; DCF'!$R$148-('Financial Model &amp; DCF'!$H$52-'Financial Model &amp; DCF'!$H$44))/'Financial Model &amp; DCF'!$D$136</f>
        <v>204.815560902181</v>
      </c>
      <c r="C10" s="47" t="n">
        <f aca="false">(SUMPRODUCT('Financial Model &amp; DCF'!$I$158:$R$158,(1+$A10)^-('Financial Model &amp; DCF'!$I$148:$R$148))+'Financial Model &amp; DCF'!$R$156*(1+C$7)/($A10-C$7)*(1+$A10)^-'Financial Model &amp; DCF'!$R$148-('Financial Model &amp; DCF'!$H$52-'Financial Model &amp; DCF'!$H$44))/'Financial Model &amp; DCF'!$D$136</f>
        <v>212.622369015756</v>
      </c>
      <c r="D10" s="48" t="n">
        <f aca="false">(SUMPRODUCT('Financial Model &amp; DCF'!$I$158:$R$158,(1+$A10)^-('Financial Model &amp; DCF'!$I$148:$R$148))+'Financial Model &amp; DCF'!$R$156*(1+D$7)/($A10-D$7)*(1+$A10)^-'Financial Model &amp; DCF'!$R$148-('Financial Model &amp; DCF'!$H$52-'Financial Model &amp; DCF'!$H$44))/'Financial Model &amp; DCF'!$D$136</f>
        <v>221.328578985733</v>
      </c>
      <c r="E10" s="47" t="n">
        <f aca="false">(SUMPRODUCT('Financial Model &amp; DCF'!$I$158:$R$158,(1+$A10)^-('Financial Model &amp; DCF'!$I$148:$R$148))+'Financial Model &amp; DCF'!$R$156*(1+E$7)/($A10-E$7)*(1+$A10)^-'Financial Model &amp; DCF'!$R$148-('Financial Model &amp; DCF'!$H$52-'Financial Model &amp; DCF'!$H$44))/'Financial Model &amp; DCF'!$D$136</f>
        <v>231.099117802896</v>
      </c>
      <c r="F10" s="47" t="n">
        <f aca="false">(SUMPRODUCT('Financial Model &amp; DCF'!$I$158:$R$158,(1+$A10)^-('Financial Model &amp; DCF'!$I$148:$R$148))+'Financial Model &amp; DCF'!$R$156*(1+F$7)/($A10-F$7)*(1+$A10)^-'Financial Model &amp; DCF'!$R$148-('Financial Model &amp; DCF'!$H$52-'Financial Model &amp; DCF'!$H$44))/'Financial Model &amp; DCF'!$D$136</f>
        <v>242.141862195211</v>
      </c>
    </row>
    <row r="11" customFormat="false" ht="15" hidden="false" customHeight="false" outlineLevel="0" collapsed="false">
      <c r="A11" s="42" t="n">
        <f aca="false">'Financial Model &amp; DCF'!$R$149+0.01</f>
        <v>0.0966</v>
      </c>
      <c r="B11" s="47" t="n">
        <f aca="false">(SUMPRODUCT('Financial Model &amp; DCF'!$I$158:$R$158,(1+$A11)^-('Financial Model &amp; DCF'!$I$148:$R$148))+'Financial Model &amp; DCF'!$R$156*(1+B$7)/($A11-B$7)*(1+$A11)^-'Financial Model &amp; DCF'!$R$148-('Financial Model &amp; DCF'!$H$52-'Financial Model &amp; DCF'!$H$44))/'Financial Model &amp; DCF'!$D$136</f>
        <v>169.301688184186</v>
      </c>
      <c r="C11" s="47" t="n">
        <f aca="false">(SUMPRODUCT('Financial Model &amp; DCF'!$I$158:$R$158,(1+$A11)^-('Financial Model &amp; DCF'!$I$148:$R$148))+'Financial Model &amp; DCF'!$R$156*(1+C$7)/($A11-C$7)*(1+$A11)^-'Financial Model &amp; DCF'!$R$148-('Financial Model &amp; DCF'!$H$52-'Financial Model &amp; DCF'!$H$44))/'Financial Model &amp; DCF'!$D$136</f>
        <v>174.229949889999</v>
      </c>
      <c r="D11" s="47" t="n">
        <f aca="false">(SUMPRODUCT('Financial Model &amp; DCF'!$I$158:$R$158,(1+$A11)^-('Financial Model &amp; DCF'!$I$148:$R$148))+'Financial Model &amp; DCF'!$R$156*(1+D$7)/($A11-D$7)*(1+$A11)^-'Financial Model &amp; DCF'!$R$148-('Financial Model &amp; DCF'!$H$52-'Financial Model &amp; DCF'!$H$44))/'Financial Model &amp; DCF'!$D$136</f>
        <v>179.619659321076</v>
      </c>
      <c r="E11" s="47" t="n">
        <f aca="false">(SUMPRODUCT('Financial Model &amp; DCF'!$I$158:$R$158,(1+$A11)^-('Financial Model &amp; DCF'!$I$148:$R$148))+'Financial Model &amp; DCF'!$R$156*(1+E$7)/($A11-E$7)*(1+$A11)^-'Financial Model &amp; DCF'!$R$148-('Financial Model &amp; DCF'!$H$52-'Financial Model &amp; DCF'!$H$44))/'Financial Model &amp; DCF'!$D$136</f>
        <v>185.53880975717</v>
      </c>
      <c r="F11" s="47" t="n">
        <f aca="false">(SUMPRODUCT('Financial Model &amp; DCF'!$I$158:$R$158,(1+$A11)^-('Financial Model &amp; DCF'!$I$148:$R$148))+'Financial Model &amp; DCF'!$R$156*(1+F$7)/($A11-F$7)*(1+$A11)^-'Financial Model &amp; DCF'!$R$148-('Financial Model &amp; DCF'!$H$52-'Financial Model &amp; DCF'!$H$44))/'Financial Model &amp; DCF'!$D$136</f>
        <v>192.069442676331</v>
      </c>
    </row>
    <row r="12" customFormat="false" ht="15" hidden="false" customHeight="false" outlineLevel="0" collapsed="false">
      <c r="A12" s="42" t="n">
        <f aca="false">'Financial Model &amp; DCF'!$R$149+0.02</f>
        <v>0.1066</v>
      </c>
      <c r="B12" s="47" t="n">
        <f aca="false">(SUMPRODUCT('Financial Model &amp; DCF'!$I$158:$R$158,(1+$A12)^-('Financial Model &amp; DCF'!$I$148:$R$148))+'Financial Model &amp; DCF'!$R$156*(1+B$7)/($A12-B$7)*(1+$A12)^-'Financial Model &amp; DCF'!$R$148-('Financial Model &amp; DCF'!$H$52-'Financial Model &amp; DCF'!$H$44))/'Financial Model &amp; DCF'!$D$136</f>
        <v>144.207366538105</v>
      </c>
      <c r="C12" s="47" t="n">
        <f aca="false">(SUMPRODUCT('Financial Model &amp; DCF'!$I$158:$R$158,(1+$A12)^-('Financial Model &amp; DCF'!$I$148:$R$148))+'Financial Model &amp; DCF'!$R$156*(1+C$7)/($A12-C$7)*(1+$A12)^-'Financial Model &amp; DCF'!$R$148-('Financial Model &amp; DCF'!$H$52-'Financial Model &amp; DCF'!$H$44))/'Financial Model &amp; DCF'!$D$136</f>
        <v>147.520659381795</v>
      </c>
      <c r="D12" s="47" t="n">
        <f aca="false">(SUMPRODUCT('Financial Model &amp; DCF'!$I$158:$R$158,(1+$A12)^-('Financial Model &amp; DCF'!$I$148:$R$148))+'Financial Model &amp; DCF'!$R$156*(1+D$7)/($A12-D$7)*(1+$A12)^-'Financial Model &amp; DCF'!$R$148-('Financial Model &amp; DCF'!$H$52-'Financial Model &amp; DCF'!$H$44))/'Financial Model &amp; DCF'!$D$136</f>
        <v>151.095252922937</v>
      </c>
      <c r="E12" s="47" t="n">
        <f aca="false">(SUMPRODUCT('Financial Model &amp; DCF'!$I$158:$R$158,(1+$A12)^-('Financial Model &amp; DCF'!$I$148:$R$148))+'Financial Model &amp; DCF'!$R$156*(1+E$7)/($A12-E$7)*(1+$A12)^-'Financial Model &amp; DCF'!$R$148-('Financial Model &amp; DCF'!$H$52-'Financial Model &amp; DCF'!$H$44))/'Financial Model &amp; DCF'!$D$136</f>
        <v>154.96332705038</v>
      </c>
      <c r="F12" s="47" t="n">
        <f aca="false">(SUMPRODUCT('Financial Model &amp; DCF'!$I$158:$R$158,(1+$A12)^-('Financial Model &amp; DCF'!$I$148:$R$148))+'Financial Model &amp; DCF'!$R$156*(1+F$7)/($A12-F$7)*(1+$A12)^-'Financial Model &amp; DCF'!$R$148-('Financial Model &amp; DCF'!$H$52-'Financial Model &amp; DCF'!$H$44))/'Financial Model &amp; DCF'!$D$136</f>
        <v>159.162571907912</v>
      </c>
    </row>
    <row r="15" customFormat="false" ht="16.15" hidden="false" customHeight="false" outlineLevel="0" collapsed="false">
      <c r="A15" s="15" t="s">
        <v>257</v>
      </c>
      <c r="B15" s="16"/>
      <c r="C15" s="16"/>
      <c r="D15" s="16"/>
      <c r="E15" s="16"/>
      <c r="F15" s="16"/>
      <c r="G15" s="16"/>
      <c r="H15" s="16"/>
      <c r="I15" s="16"/>
      <c r="J15" s="16"/>
    </row>
    <row r="17" customFormat="false" ht="15" hidden="false" customHeight="false" outlineLevel="0" collapsed="false">
      <c r="B17" s="49" t="n">
        <f aca="false">'Financial Model &amp; DCF'!$D$139+-1</f>
        <v>17</v>
      </c>
      <c r="C17" s="49" t="n">
        <f aca="false">'Financial Model &amp; DCF'!$D$139+-0.5</f>
        <v>17.5</v>
      </c>
      <c r="D17" s="49" t="n">
        <f aca="false">'Financial Model &amp; DCF'!$D$139+0</f>
        <v>18</v>
      </c>
      <c r="E17" s="49" t="n">
        <f aca="false">'Financial Model &amp; DCF'!$D$139+0.5</f>
        <v>18.5</v>
      </c>
      <c r="F17" s="49" t="n">
        <f aca="false">'Financial Model &amp; DCF'!$D$139+1</f>
        <v>19</v>
      </c>
    </row>
    <row r="18" customFormat="false" ht="15" hidden="false" customHeight="false" outlineLevel="0" collapsed="false">
      <c r="A18" s="42" t="n">
        <f aca="false">'Financial Model &amp; DCF'!$R$149+-0.02</f>
        <v>0.0666</v>
      </c>
      <c r="B18" s="47" t="n">
        <f aca="false">(SUMPRODUCT('Financial Model &amp; DCF'!$I$158:$R$158,(1+$A18)^-('Financial Model &amp; DCF'!$I$148:$R$148))+B$17*('Financial Model &amp; DCF'!$R$151+'Financial Model &amp; DCF'!$R$153)*(1+$A18)^-'Financial Model &amp; DCF'!$R$148-('Financial Model &amp; DCF'!$H$52-'Financial Model &amp; DCF'!$H$44))/'Financial Model &amp; DCF'!$D$136</f>
        <v>234.977101061999</v>
      </c>
      <c r="C18" s="47" t="n">
        <f aca="false">(SUMPRODUCT('Financial Model &amp; DCF'!$I$158:$R$158,(1+$A18)^-('Financial Model &amp; DCF'!$I$148:$R$148))+C$17*('Financial Model &amp; DCF'!$R$151+'Financial Model &amp; DCF'!$R$153)*(1+$A18)^-'Financial Model &amp; DCF'!$R$148-('Financial Model &amp; DCF'!$H$52-'Financial Model &amp; DCF'!$H$44))/'Financial Model &amp; DCF'!$D$136</f>
        <v>239.703617449083</v>
      </c>
      <c r="D18" s="47" t="n">
        <f aca="false">(SUMPRODUCT('Financial Model &amp; DCF'!$I$158:$R$158,(1+$A18)^-('Financial Model &amp; DCF'!$I$148:$R$148))+D$17*('Financial Model &amp; DCF'!$R$151+'Financial Model &amp; DCF'!$R$153)*(1+$A18)^-'Financial Model &amp; DCF'!$R$148-('Financial Model &amp; DCF'!$H$52-'Financial Model &amp; DCF'!$H$44))/'Financial Model &amp; DCF'!$D$136</f>
        <v>244.430133836167</v>
      </c>
      <c r="E18" s="47" t="n">
        <f aca="false">(SUMPRODUCT('Financial Model &amp; DCF'!$I$158:$R$158,(1+$A18)^-('Financial Model &amp; DCF'!$I$148:$R$148))+E$17*('Financial Model &amp; DCF'!$R$151+'Financial Model &amp; DCF'!$R$153)*(1+$A18)^-'Financial Model &amp; DCF'!$R$148-('Financial Model &amp; DCF'!$H$52-'Financial Model &amp; DCF'!$H$44))/'Financial Model &amp; DCF'!$D$136</f>
        <v>249.156650223251</v>
      </c>
      <c r="F18" s="47" t="n">
        <f aca="false">(SUMPRODUCT('Financial Model &amp; DCF'!$I$158:$R$158,(1+$A18)^-('Financial Model &amp; DCF'!$I$148:$R$148))+F$17*('Financial Model &amp; DCF'!$R$151+'Financial Model &amp; DCF'!$R$153)*(1+$A18)^-'Financial Model &amp; DCF'!$R$148-('Financial Model &amp; DCF'!$H$52-'Financial Model &amp; DCF'!$H$44))/'Financial Model &amp; DCF'!$D$136</f>
        <v>253.883166610335</v>
      </c>
    </row>
    <row r="19" customFormat="false" ht="15" hidden="false" customHeight="false" outlineLevel="0" collapsed="false">
      <c r="A19" s="42" t="n">
        <f aca="false">'Financial Model &amp; DCF'!$R$149+-0.01</f>
        <v>0.0766</v>
      </c>
      <c r="B19" s="47" t="n">
        <f aca="false">(SUMPRODUCT('Financial Model &amp; DCF'!$I$158:$R$158,(1+$A19)^-('Financial Model &amp; DCF'!$I$148:$R$148))+B$17*('Financial Model &amp; DCF'!$R$151+'Financial Model &amp; DCF'!$R$153)*(1+$A19)^-'Financial Model &amp; DCF'!$R$148-('Financial Model &amp; DCF'!$H$52-'Financial Model &amp; DCF'!$H$44))/'Financial Model &amp; DCF'!$D$136</f>
        <v>218.445715741315</v>
      </c>
      <c r="C19" s="47" t="n">
        <f aca="false">(SUMPRODUCT('Financial Model &amp; DCF'!$I$158:$R$158,(1+$A19)^-('Financial Model &amp; DCF'!$I$148:$R$148))+C$17*('Financial Model &amp; DCF'!$R$151+'Financial Model &amp; DCF'!$R$153)*(1+$A19)^-'Financial Model &amp; DCF'!$R$148-('Financial Model &amp; DCF'!$H$52-'Financial Model &amp; DCF'!$H$44))/'Financial Model &amp; DCF'!$D$136</f>
        <v>222.783486003335</v>
      </c>
      <c r="D19" s="47" t="n">
        <f aca="false">(SUMPRODUCT('Financial Model &amp; DCF'!$I$158:$R$158,(1+$A19)^-('Financial Model &amp; DCF'!$I$148:$R$148))+D$17*('Financial Model &amp; DCF'!$R$151+'Financial Model &amp; DCF'!$R$153)*(1+$A19)^-'Financial Model &amp; DCF'!$R$148-('Financial Model &amp; DCF'!$H$52-'Financial Model &amp; DCF'!$H$44))/'Financial Model &amp; DCF'!$D$136</f>
        <v>227.121256265354</v>
      </c>
      <c r="E19" s="47" t="n">
        <f aca="false">(SUMPRODUCT('Financial Model &amp; DCF'!$I$158:$R$158,(1+$A19)^-('Financial Model &amp; DCF'!$I$148:$R$148))+E$17*('Financial Model &amp; DCF'!$R$151+'Financial Model &amp; DCF'!$R$153)*(1+$A19)^-'Financial Model &amp; DCF'!$R$148-('Financial Model &amp; DCF'!$H$52-'Financial Model &amp; DCF'!$H$44))/'Financial Model &amp; DCF'!$D$136</f>
        <v>231.459026527374</v>
      </c>
      <c r="F19" s="47" t="n">
        <f aca="false">(SUMPRODUCT('Financial Model &amp; DCF'!$I$158:$R$158,(1+$A19)^-('Financial Model &amp; DCF'!$I$148:$R$148))+F$17*('Financial Model &amp; DCF'!$R$151+'Financial Model &amp; DCF'!$R$153)*(1+$A19)^-'Financial Model &amp; DCF'!$R$148-('Financial Model &amp; DCF'!$H$52-'Financial Model &amp; DCF'!$H$44))/'Financial Model &amp; DCF'!$D$136</f>
        <v>235.796796789393</v>
      </c>
    </row>
    <row r="20" customFormat="false" ht="15" hidden="false" customHeight="false" outlineLevel="0" collapsed="false">
      <c r="A20" s="42" t="n">
        <f aca="false">'Financial Model &amp; DCF'!$R$149+0</f>
        <v>0.0866</v>
      </c>
      <c r="B20" s="47" t="n">
        <f aca="false">(SUMPRODUCT('Financial Model &amp; DCF'!$I$158:$R$158,(1+$A20)^-('Financial Model &amp; DCF'!$I$148:$R$148))+B$17*('Financial Model &amp; DCF'!$R$151+'Financial Model &amp; DCF'!$R$153)*(1+$A20)^-'Financial Model &amp; DCF'!$R$148-('Financial Model &amp; DCF'!$H$52-'Financial Model &amp; DCF'!$H$44))/'Financial Model &amp; DCF'!$D$136</f>
        <v>203.328362663313</v>
      </c>
      <c r="C20" s="47" t="n">
        <f aca="false">(SUMPRODUCT('Financial Model &amp; DCF'!$I$158:$R$158,(1+$A20)^-('Financial Model &amp; DCF'!$I$148:$R$148))+C$17*('Financial Model &amp; DCF'!$R$151+'Financial Model &amp; DCF'!$R$153)*(1+$A20)^-'Financial Model &amp; DCF'!$R$148-('Financial Model &amp; DCF'!$H$52-'Financial Model &amp; DCF'!$H$44))/'Financial Model &amp; DCF'!$D$136</f>
        <v>207.312520691132</v>
      </c>
      <c r="D20" s="48" t="n">
        <f aca="false">(SUMPRODUCT('Financial Model &amp; DCF'!$I$158:$R$158,(1+$A20)^-('Financial Model &amp; DCF'!$I$148:$R$148))+D$17*('Financial Model &amp; DCF'!$R$151+'Financial Model &amp; DCF'!$R$153)*(1+$A20)^-'Financial Model &amp; DCF'!$R$148-('Financial Model &amp; DCF'!$H$52-'Financial Model &amp; DCF'!$H$44))/'Financial Model &amp; DCF'!$D$136</f>
        <v>211.296678718951</v>
      </c>
      <c r="E20" s="47" t="n">
        <f aca="false">(SUMPRODUCT('Financial Model &amp; DCF'!$I$158:$R$158,(1+$A20)^-('Financial Model &amp; DCF'!$I$148:$R$148))+E$17*('Financial Model &amp; DCF'!$R$151+'Financial Model &amp; DCF'!$R$153)*(1+$A20)^-'Financial Model &amp; DCF'!$R$148-('Financial Model &amp; DCF'!$H$52-'Financial Model &amp; DCF'!$H$44))/'Financial Model &amp; DCF'!$D$136</f>
        <v>215.28083674677</v>
      </c>
      <c r="F20" s="47" t="n">
        <f aca="false">(SUMPRODUCT('Financial Model &amp; DCF'!$I$158:$R$158,(1+$A20)^-('Financial Model &amp; DCF'!$I$148:$R$148))+F$17*('Financial Model &amp; DCF'!$R$151+'Financial Model &amp; DCF'!$R$153)*(1+$A20)^-'Financial Model &amp; DCF'!$R$148-('Financial Model &amp; DCF'!$H$52-'Financial Model &amp; DCF'!$H$44))/'Financial Model &amp; DCF'!$D$136</f>
        <v>219.264994774589</v>
      </c>
    </row>
    <row r="21" customFormat="false" ht="15" hidden="false" customHeight="false" outlineLevel="0" collapsed="false">
      <c r="A21" s="42" t="n">
        <f aca="false">'Financial Model &amp; DCF'!$R$149+0.01</f>
        <v>0.0966</v>
      </c>
      <c r="B21" s="47" t="n">
        <f aca="false">(SUMPRODUCT('Financial Model &amp; DCF'!$I$158:$R$158,(1+$A21)^-('Financial Model &amp; DCF'!$I$148:$R$148))+B$17*('Financial Model &amp; DCF'!$R$151+'Financial Model &amp; DCF'!$R$153)*(1+$A21)^-'Financial Model &amp; DCF'!$R$148-('Financial Model &amp; DCF'!$H$52-'Financial Model &amp; DCF'!$H$44))/'Financial Model &amp; DCF'!$D$136</f>
        <v>189.489906841537</v>
      </c>
      <c r="C21" s="47" t="n">
        <f aca="false">(SUMPRODUCT('Financial Model &amp; DCF'!$I$158:$R$158,(1+$A21)^-('Financial Model &amp; DCF'!$I$148:$R$148))+C$17*('Financial Model &amp; DCF'!$R$151+'Financial Model &amp; DCF'!$R$153)*(1+$A21)^-'Financial Model &amp; DCF'!$R$148-('Financial Model &amp; DCF'!$H$52-'Financial Model &amp; DCF'!$H$44))/'Financial Model &amp; DCF'!$D$136</f>
        <v>193.152130637928</v>
      </c>
      <c r="D21" s="47" t="n">
        <f aca="false">(SUMPRODUCT('Financial Model &amp; DCF'!$I$158:$R$158,(1+$A21)^-('Financial Model &amp; DCF'!$I$148:$R$148))+D$17*('Financial Model &amp; DCF'!$R$151+'Financial Model &amp; DCF'!$R$153)*(1+$A21)^-'Financial Model &amp; DCF'!$R$148-('Financial Model &amp; DCF'!$H$52-'Financial Model &amp; DCF'!$H$44))/'Financial Model &amp; DCF'!$D$136</f>
        <v>196.81435443432</v>
      </c>
      <c r="E21" s="47" t="n">
        <f aca="false">(SUMPRODUCT('Financial Model &amp; DCF'!$I$158:$R$158,(1+$A21)^-('Financial Model &amp; DCF'!$I$148:$R$148))+E$17*('Financial Model &amp; DCF'!$R$151+'Financial Model &amp; DCF'!$R$153)*(1+$A21)^-'Financial Model &amp; DCF'!$R$148-('Financial Model &amp; DCF'!$H$52-'Financial Model &amp; DCF'!$H$44))/'Financial Model &amp; DCF'!$D$136</f>
        <v>200.476578230711</v>
      </c>
      <c r="F21" s="47" t="n">
        <f aca="false">(SUMPRODUCT('Financial Model &amp; DCF'!$I$158:$R$158,(1+$A21)^-('Financial Model &amp; DCF'!$I$148:$R$148))+F$17*('Financial Model &amp; DCF'!$R$151+'Financial Model &amp; DCF'!$R$153)*(1+$A21)^-'Financial Model &amp; DCF'!$R$148-('Financial Model &amp; DCF'!$H$52-'Financial Model &amp; DCF'!$H$44))/'Financial Model &amp; DCF'!$D$136</f>
        <v>204.138802027103</v>
      </c>
    </row>
    <row r="22" customFormat="false" ht="15" hidden="false" customHeight="false" outlineLevel="0" collapsed="false">
      <c r="A22" s="42" t="n">
        <f aca="false">'Financial Model &amp; DCF'!$R$149+0.02</f>
        <v>0.1066</v>
      </c>
      <c r="B22" s="47" t="n">
        <f aca="false">(SUMPRODUCT('Financial Model &amp; DCF'!$I$158:$R$158,(1+$A22)^-('Financial Model &amp; DCF'!$I$148:$R$148))+B$17*('Financial Model &amp; DCF'!$R$151+'Financial Model &amp; DCF'!$R$153)*(1+$A22)^-'Financial Model &amp; DCF'!$R$148-('Financial Model &amp; DCF'!$H$52-'Financial Model &amp; DCF'!$H$44))/'Financial Model &amp; DCF'!$D$136</f>
        <v>176.809313565419</v>
      </c>
      <c r="C22" s="47" t="n">
        <f aca="false">(SUMPRODUCT('Financial Model &amp; DCF'!$I$158:$R$158,(1+$A22)^-('Financial Model &amp; DCF'!$I$148:$R$148))+C$17*('Financial Model &amp; DCF'!$R$151+'Financial Model &amp; DCF'!$R$153)*(1+$A22)^-'Financial Model &amp; DCF'!$R$148-('Financial Model &amp; DCF'!$H$52-'Financial Model &amp; DCF'!$H$44))/'Financial Model &amp; DCF'!$D$136</f>
        <v>180.178192292937</v>
      </c>
      <c r="D22" s="47" t="n">
        <f aca="false">(SUMPRODUCT('Financial Model &amp; DCF'!$I$158:$R$158,(1+$A22)^-('Financial Model &amp; DCF'!$I$148:$R$148))+D$17*('Financial Model &amp; DCF'!$R$151+'Financial Model &amp; DCF'!$R$153)*(1+$A22)^-'Financial Model &amp; DCF'!$R$148-('Financial Model &amp; DCF'!$H$52-'Financial Model &amp; DCF'!$H$44))/'Financial Model &amp; DCF'!$D$136</f>
        <v>183.547071020456</v>
      </c>
      <c r="E22" s="47" t="n">
        <f aca="false">(SUMPRODUCT('Financial Model &amp; DCF'!$I$158:$R$158,(1+$A22)^-('Financial Model &amp; DCF'!$I$148:$R$148))+E$17*('Financial Model &amp; DCF'!$R$151+'Financial Model &amp; DCF'!$R$153)*(1+$A22)^-'Financial Model &amp; DCF'!$R$148-('Financial Model &amp; DCF'!$H$52-'Financial Model &amp; DCF'!$H$44))/'Financial Model &amp; DCF'!$D$136</f>
        <v>186.915949747974</v>
      </c>
      <c r="F22" s="47" t="n">
        <f aca="false">(SUMPRODUCT('Financial Model &amp; DCF'!$I$158:$R$158,(1+$A22)^-('Financial Model &amp; DCF'!$I$148:$R$148))+F$17*('Financial Model &amp; DCF'!$R$151+'Financial Model &amp; DCF'!$R$153)*(1+$A22)^-'Financial Model &amp; DCF'!$R$148-('Financial Model &amp; DCF'!$H$52-'Financial Model &amp; DCF'!$H$44))/'Financial Model &amp; DCF'!$D$136</f>
        <v>190.284828475492</v>
      </c>
    </row>
    <row r="25" customFormat="false" ht="16.15" hidden="false" customHeight="false" outlineLevel="0" collapsed="false">
      <c r="A25" s="15" t="s">
        <v>258</v>
      </c>
      <c r="B25" s="16"/>
      <c r="C25" s="16"/>
      <c r="D25" s="16"/>
      <c r="E25" s="16"/>
      <c r="F25" s="16"/>
      <c r="G25" s="16"/>
      <c r="H25" s="16"/>
      <c r="I25" s="16"/>
      <c r="J25" s="16"/>
    </row>
    <row r="26" customFormat="false" ht="15" hidden="false" customHeight="false" outlineLevel="0" collapsed="false">
      <c r="A26" s="1" t="s">
        <v>259</v>
      </c>
    </row>
    <row r="28" customFormat="false" ht="15" hidden="false" customHeight="false" outlineLevel="0" collapsed="false">
      <c r="B28" s="50" t="n">
        <v>0.7</v>
      </c>
      <c r="C28" s="50" t="n">
        <v>0.85</v>
      </c>
      <c r="D28" s="50" t="n">
        <v>1</v>
      </c>
      <c r="E28" s="50" t="n">
        <v>1.15</v>
      </c>
      <c r="F28" s="50" t="n">
        <v>1.3</v>
      </c>
    </row>
    <row r="29" customFormat="false" ht="15" hidden="false" customHeight="false" outlineLevel="0" collapsed="false">
      <c r="A29" s="42" t="n">
        <f aca="false">'Financial Model &amp; DCF'!$R$149+-0.02</f>
        <v>0.0666</v>
      </c>
      <c r="B29" s="47" t="n">
        <f aca="false">(B$28*(SUMPRODUCT('Financial Model &amp; DCF'!$I$158:$R$158,(1+$A29)^-('Financial Model &amp; DCF'!$I$148:$R$148))+(('Financial Model &amp; DCF'!$R$156*(1+'Financial Model &amp; DCF'!$D$138)/($A29-'Financial Model &amp; DCF'!$D$138)+'Financial Model &amp; DCF'!$D$139*('Financial Model &amp; DCF'!$R$151+'Financial Model &amp; DCF'!$R$153))/2)*(1+$A29)^-'Financial Model &amp; DCF'!$R$148)-('Financial Model &amp; DCF'!$H$52-'Financial Model &amp; DCF'!$H$44))/'Financial Model &amp; DCF'!$D$136</f>
        <v>230.136970204353</v>
      </c>
      <c r="C29" s="47" t="n">
        <f aca="false">(C$28*(SUMPRODUCT('Financial Model &amp; DCF'!$I$158:$R$158,(1+$A29)^-('Financial Model &amp; DCF'!$I$148:$R$148))+(('Financial Model &amp; DCF'!$R$156*(1+'Financial Model &amp; DCF'!$D$138)/($A29-'Financial Model &amp; DCF'!$D$138)+'Financial Model &amp; DCF'!$D$139*('Financial Model &amp; DCF'!$R$151+'Financial Model &amp; DCF'!$R$153))/2)*(1+$A29)^-'Financial Model &amp; DCF'!$R$148)-('Financial Model &amp; DCF'!$H$52-'Financial Model &amp; DCF'!$H$44))/'Financial Model &amp; DCF'!$D$136</f>
        <v>279.159624533858</v>
      </c>
      <c r="D29" s="47" t="n">
        <f aca="false">(D$28*(SUMPRODUCT('Financial Model &amp; DCF'!$I$158:$R$158,(1+$A29)^-('Financial Model &amp; DCF'!$I$148:$R$148))+(('Financial Model &amp; DCF'!$R$156*(1+'Financial Model &amp; DCF'!$D$138)/($A29-'Financial Model &amp; DCF'!$D$138)+'Financial Model &amp; DCF'!$D$139*('Financial Model &amp; DCF'!$R$151+'Financial Model &amp; DCF'!$R$153))/2)*(1+$A29)^-'Financial Model &amp; DCF'!$R$148)-('Financial Model &amp; DCF'!$H$52-'Financial Model &amp; DCF'!$H$44))/'Financial Model &amp; DCF'!$D$136</f>
        <v>328.182278863362</v>
      </c>
      <c r="E29" s="47" t="n">
        <f aca="false">(E$28*(SUMPRODUCT('Financial Model &amp; DCF'!$I$158:$R$158,(1+$A29)^-('Financial Model &amp; DCF'!$I$148:$R$148))+(('Financial Model &amp; DCF'!$R$156*(1+'Financial Model &amp; DCF'!$D$138)/($A29-'Financial Model &amp; DCF'!$D$138)+'Financial Model &amp; DCF'!$D$139*('Financial Model &amp; DCF'!$R$151+'Financial Model &amp; DCF'!$R$153))/2)*(1+$A29)^-'Financial Model &amp; DCF'!$R$148)-('Financial Model &amp; DCF'!$H$52-'Financial Model &amp; DCF'!$H$44))/'Financial Model &amp; DCF'!$D$136</f>
        <v>377.204933192866</v>
      </c>
      <c r="F29" s="47" t="n">
        <f aca="false">(F$28*(SUMPRODUCT('Financial Model &amp; DCF'!$I$158:$R$158,(1+$A29)^-('Financial Model &amp; DCF'!$I$148:$R$148))+(('Financial Model &amp; DCF'!$R$156*(1+'Financial Model &amp; DCF'!$D$138)/($A29-'Financial Model &amp; DCF'!$D$138)+'Financial Model &amp; DCF'!$D$139*('Financial Model &amp; DCF'!$R$151+'Financial Model &amp; DCF'!$R$153))/2)*(1+$A29)^-'Financial Model &amp; DCF'!$R$148)-('Financial Model &amp; DCF'!$H$52-'Financial Model &amp; DCF'!$H$44))/'Financial Model &amp; DCF'!$D$136</f>
        <v>426.227587522371</v>
      </c>
    </row>
    <row r="30" customFormat="false" ht="15" hidden="false" customHeight="false" outlineLevel="0" collapsed="false">
      <c r="A30" s="42" t="n">
        <f aca="false">'Financial Model &amp; DCF'!$R$149+-0.01</f>
        <v>0.0766</v>
      </c>
      <c r="B30" s="47" t="n">
        <f aca="false">(B$28*(SUMPRODUCT('Financial Model &amp; DCF'!$I$158:$R$158,(1+$A30)^-('Financial Model &amp; DCF'!$I$148:$R$148))+(('Financial Model &amp; DCF'!$R$156*(1+'Financial Model &amp; DCF'!$D$138)/($A30-'Financial Model &amp; DCF'!$D$138)+'Financial Model &amp; DCF'!$D$139*('Financial Model &amp; DCF'!$R$151+'Financial Model &amp; DCF'!$R$153))/2)*(1+$A30)^-'Financial Model &amp; DCF'!$R$148)-('Financial Model &amp; DCF'!$H$52-'Financial Model &amp; DCF'!$H$44))/'Financial Model &amp; DCF'!$D$136</f>
        <v>180.725644944881</v>
      </c>
      <c r="C30" s="47" t="n">
        <f aca="false">(C$28*(SUMPRODUCT('Financial Model &amp; DCF'!$I$158:$R$158,(1+$A30)^-('Financial Model &amp; DCF'!$I$148:$R$148))+(('Financial Model &amp; DCF'!$R$156*(1+'Financial Model &amp; DCF'!$D$138)/($A30-'Financial Model &amp; DCF'!$D$138)+'Financial Model &amp; DCF'!$D$139*('Financial Model &amp; DCF'!$R$151+'Financial Model &amp; DCF'!$R$153))/2)*(1+$A30)^-'Financial Model &amp; DCF'!$R$148)-('Financial Model &amp; DCF'!$H$52-'Financial Model &amp; DCF'!$H$44))/'Financial Model &amp; DCF'!$D$136</f>
        <v>219.160158147356</v>
      </c>
      <c r="D30" s="47" t="n">
        <f aca="false">(D$28*(SUMPRODUCT('Financial Model &amp; DCF'!$I$158:$R$158,(1+$A30)^-('Financial Model &amp; DCF'!$I$148:$R$148))+(('Financial Model &amp; DCF'!$R$156*(1+'Financial Model &amp; DCF'!$D$138)/($A30-'Financial Model &amp; DCF'!$D$138)+'Financial Model &amp; DCF'!$D$139*('Financial Model &amp; DCF'!$R$151+'Financial Model &amp; DCF'!$R$153))/2)*(1+$A30)^-'Financial Model &amp; DCF'!$R$148)-('Financial Model &amp; DCF'!$H$52-'Financial Model &amp; DCF'!$H$44))/'Financial Model &amp; DCF'!$D$136</f>
        <v>257.59467134983</v>
      </c>
      <c r="E30" s="47" t="n">
        <f aca="false">(E$28*(SUMPRODUCT('Financial Model &amp; DCF'!$I$158:$R$158,(1+$A30)^-('Financial Model &amp; DCF'!$I$148:$R$148))+(('Financial Model &amp; DCF'!$R$156*(1+'Financial Model &amp; DCF'!$D$138)/($A30-'Financial Model &amp; DCF'!$D$138)+'Financial Model &amp; DCF'!$D$139*('Financial Model &amp; DCF'!$R$151+'Financial Model &amp; DCF'!$R$153))/2)*(1+$A30)^-'Financial Model &amp; DCF'!$R$148)-('Financial Model &amp; DCF'!$H$52-'Financial Model &amp; DCF'!$H$44))/'Financial Model &amp; DCF'!$D$136</f>
        <v>296.029184552305</v>
      </c>
      <c r="F30" s="47" t="n">
        <f aca="false">(F$28*(SUMPRODUCT('Financial Model &amp; DCF'!$I$158:$R$158,(1+$A30)^-('Financial Model &amp; DCF'!$I$148:$R$148))+(('Financial Model &amp; DCF'!$R$156*(1+'Financial Model &amp; DCF'!$D$138)/($A30-'Financial Model &amp; DCF'!$D$138)+'Financial Model &amp; DCF'!$D$139*('Financial Model &amp; DCF'!$R$151+'Financial Model &amp; DCF'!$R$153))/2)*(1+$A30)^-'Financial Model &amp; DCF'!$R$148)-('Financial Model &amp; DCF'!$H$52-'Financial Model &amp; DCF'!$H$44))/'Financial Model &amp; DCF'!$D$136</f>
        <v>334.463697754779</v>
      </c>
    </row>
    <row r="31" customFormat="false" ht="15" hidden="false" customHeight="false" outlineLevel="0" collapsed="false">
      <c r="A31" s="42" t="n">
        <f aca="false">'Financial Model &amp; DCF'!$R$149+0</f>
        <v>0.0866</v>
      </c>
      <c r="B31" s="47" t="n">
        <f aca="false">(B$28*(SUMPRODUCT('Financial Model &amp; DCF'!$I$158:$R$158,(1+$A31)^-('Financial Model &amp; DCF'!$I$148:$R$148))+(('Financial Model &amp; DCF'!$R$156*(1+'Financial Model &amp; DCF'!$D$138)/($A31-'Financial Model &amp; DCF'!$D$138)+'Financial Model &amp; DCF'!$D$139*('Financial Model &amp; DCF'!$R$151+'Financial Model &amp; DCF'!$R$153))/2)*(1+$A31)^-'Financial Model &amp; DCF'!$R$148)-('Financial Model &amp; DCF'!$H$52-'Financial Model &amp; DCF'!$H$44))/'Financial Model &amp; DCF'!$D$136</f>
        <v>151.828215196639</v>
      </c>
      <c r="C31" s="47" t="n">
        <f aca="false">(C$28*(SUMPRODUCT('Financial Model &amp; DCF'!$I$158:$R$158,(1+$A31)^-('Financial Model &amp; DCF'!$I$148:$R$148))+(('Financial Model &amp; DCF'!$R$156*(1+'Financial Model &amp; DCF'!$D$138)/($A31-'Financial Model &amp; DCF'!$D$138)+'Financial Model &amp; DCF'!$D$139*('Financial Model &amp; DCF'!$R$151+'Financial Model &amp; DCF'!$R$153))/2)*(1+$A31)^-'Financial Model &amp; DCF'!$R$148)-('Financial Model &amp; DCF'!$H$52-'Financial Model &amp; DCF'!$H$44))/'Financial Model &amp; DCF'!$D$136</f>
        <v>184.070422024491</v>
      </c>
      <c r="D31" s="48" t="n">
        <f aca="false">(D$28*(SUMPRODUCT('Financial Model &amp; DCF'!$I$158:$R$158,(1+$A31)^-('Financial Model &amp; DCF'!$I$148:$R$148))+(('Financial Model &amp; DCF'!$R$156*(1+'Financial Model &amp; DCF'!$D$138)/($A31-'Financial Model &amp; DCF'!$D$138)+'Financial Model &amp; DCF'!$D$139*('Financial Model &amp; DCF'!$R$151+'Financial Model &amp; DCF'!$R$153))/2)*(1+$A31)^-'Financial Model &amp; DCF'!$R$148)-('Financial Model &amp; DCF'!$H$52-'Financial Model &amp; DCF'!$H$44))/'Financial Model &amp; DCF'!$D$136</f>
        <v>216.312628852342</v>
      </c>
      <c r="E31" s="47" t="n">
        <f aca="false">(E$28*(SUMPRODUCT('Financial Model &amp; DCF'!$I$158:$R$158,(1+$A31)^-('Financial Model &amp; DCF'!$I$148:$R$148))+(('Financial Model &amp; DCF'!$R$156*(1+'Financial Model &amp; DCF'!$D$138)/($A31-'Financial Model &amp; DCF'!$D$138)+'Financial Model &amp; DCF'!$D$139*('Financial Model &amp; DCF'!$R$151+'Financial Model &amp; DCF'!$R$153))/2)*(1+$A31)^-'Financial Model &amp; DCF'!$R$148)-('Financial Model &amp; DCF'!$H$52-'Financial Model &amp; DCF'!$H$44))/'Financial Model &amp; DCF'!$D$136</f>
        <v>248.554835680193</v>
      </c>
      <c r="F31" s="47" t="n">
        <f aca="false">(F$28*(SUMPRODUCT('Financial Model &amp; DCF'!$I$158:$R$158,(1+$A31)^-('Financial Model &amp; DCF'!$I$148:$R$148))+(('Financial Model &amp; DCF'!$R$156*(1+'Financial Model &amp; DCF'!$D$138)/($A31-'Financial Model &amp; DCF'!$D$138)+'Financial Model &amp; DCF'!$D$139*('Financial Model &amp; DCF'!$R$151+'Financial Model &amp; DCF'!$R$153))/2)*(1+$A31)^-'Financial Model &amp; DCF'!$R$148)-('Financial Model &amp; DCF'!$H$52-'Financial Model &amp; DCF'!$H$44))/'Financial Model &amp; DCF'!$D$136</f>
        <v>280.797042508045</v>
      </c>
    </row>
    <row r="32" customFormat="false" ht="15" hidden="false" customHeight="false" outlineLevel="0" collapsed="false">
      <c r="A32" s="42" t="n">
        <f aca="false">'Financial Model &amp; DCF'!$R$149+0.01</f>
        <v>0.0966</v>
      </c>
      <c r="B32" s="47" t="n">
        <f aca="false">(B$28*(SUMPRODUCT('Financial Model &amp; DCF'!$I$158:$R$158,(1+$A32)^-('Financial Model &amp; DCF'!$I$148:$R$148))+(('Financial Model &amp; DCF'!$R$156*(1+'Financial Model &amp; DCF'!$D$138)/($A32-'Financial Model &amp; DCF'!$D$138)+'Financial Model &amp; DCF'!$D$139*('Financial Model &amp; DCF'!$R$151+'Financial Model &amp; DCF'!$R$153))/2)*(1+$A32)^-'Financial Model &amp; DCF'!$R$148)-('Financial Model &amp; DCF'!$H$52-'Financial Model &amp; DCF'!$H$44))/'Financial Model &amp; DCF'!$D$136</f>
        <v>132.161279814388</v>
      </c>
      <c r="C32" s="47" t="n">
        <f aca="false">(C$28*(SUMPRODUCT('Financial Model &amp; DCF'!$I$158:$R$158,(1+$A32)^-('Financial Model &amp; DCF'!$I$148:$R$148))+(('Financial Model &amp; DCF'!$R$156*(1+'Financial Model &amp; DCF'!$D$138)/($A32-'Financial Model &amp; DCF'!$D$138)+'Financial Model &amp; DCF'!$D$139*('Financial Model &amp; DCF'!$R$151+'Financial Model &amp; DCF'!$R$153))/2)*(1+$A32)^-'Financial Model &amp; DCF'!$R$148)-('Financial Model &amp; DCF'!$H$52-'Financial Model &amp; DCF'!$H$44))/'Financial Model &amp; DCF'!$D$136</f>
        <v>160.189143346043</v>
      </c>
      <c r="D32" s="47" t="n">
        <f aca="false">(D$28*(SUMPRODUCT('Financial Model &amp; DCF'!$I$158:$R$158,(1+$A32)^-('Financial Model &amp; DCF'!$I$148:$R$148))+(('Financial Model &amp; DCF'!$R$156*(1+'Financial Model &amp; DCF'!$D$138)/($A32-'Financial Model &amp; DCF'!$D$138)+'Financial Model &amp; DCF'!$D$139*('Financial Model &amp; DCF'!$R$151+'Financial Model &amp; DCF'!$R$153))/2)*(1+$A32)^-'Financial Model &amp; DCF'!$R$148)-('Financial Model &amp; DCF'!$H$52-'Financial Model &amp; DCF'!$H$44))/'Financial Model &amp; DCF'!$D$136</f>
        <v>188.217006877698</v>
      </c>
      <c r="E32" s="47" t="n">
        <f aca="false">(E$28*(SUMPRODUCT('Financial Model &amp; DCF'!$I$158:$R$158,(1+$A32)^-('Financial Model &amp; DCF'!$I$148:$R$148))+(('Financial Model &amp; DCF'!$R$156*(1+'Financial Model &amp; DCF'!$D$138)/($A32-'Financial Model &amp; DCF'!$D$138)+'Financial Model &amp; DCF'!$D$139*('Financial Model &amp; DCF'!$R$151+'Financial Model &amp; DCF'!$R$153))/2)*(1+$A32)^-'Financial Model &amp; DCF'!$R$148)-('Financial Model &amp; DCF'!$H$52-'Financial Model &amp; DCF'!$H$44))/'Financial Model &amp; DCF'!$D$136</f>
        <v>216.244870409353</v>
      </c>
      <c r="F32" s="47" t="n">
        <f aca="false">(F$28*(SUMPRODUCT('Financial Model &amp; DCF'!$I$158:$R$158,(1+$A32)^-('Financial Model &amp; DCF'!$I$148:$R$148))+(('Financial Model &amp; DCF'!$R$156*(1+'Financial Model &amp; DCF'!$D$138)/($A32-'Financial Model &amp; DCF'!$D$138)+'Financial Model &amp; DCF'!$D$139*('Financial Model &amp; DCF'!$R$151+'Financial Model &amp; DCF'!$R$153))/2)*(1+$A32)^-'Financial Model &amp; DCF'!$R$148)-('Financial Model &amp; DCF'!$H$52-'Financial Model &amp; DCF'!$H$44))/'Financial Model &amp; DCF'!$D$136</f>
        <v>244.272733941007</v>
      </c>
    </row>
    <row r="33" customFormat="false" ht="15" hidden="false" customHeight="false" outlineLevel="0" collapsed="false">
      <c r="A33" s="42" t="n">
        <f aca="false">'Financial Model &amp; DCF'!$R$149+0.02</f>
        <v>0.1066</v>
      </c>
      <c r="B33" s="47" t="n">
        <f aca="false">(B$28*(SUMPRODUCT('Financial Model &amp; DCF'!$I$158:$R$158,(1+$A33)^-('Financial Model &amp; DCF'!$I$148:$R$148))+(('Financial Model &amp; DCF'!$R$156*(1+'Financial Model &amp; DCF'!$D$138)/($A33-'Financial Model &amp; DCF'!$D$138)+'Financial Model &amp; DCF'!$D$139*('Financial Model &amp; DCF'!$R$151+'Financial Model &amp; DCF'!$R$153))/2)*(1+$A33)^-'Financial Model &amp; DCF'!$R$148)-('Financial Model &amp; DCF'!$H$52-'Financial Model &amp; DCF'!$H$44))/'Financial Model &amp; DCF'!$D$136</f>
        <v>117.534188380187</v>
      </c>
      <c r="C33" s="47" t="n">
        <f aca="false">(C$28*(SUMPRODUCT('Financial Model &amp; DCF'!$I$158:$R$158,(1+$A33)^-('Financial Model &amp; DCF'!$I$148:$R$148))+(('Financial Model &amp; DCF'!$R$156*(1+'Financial Model &amp; DCF'!$D$138)/($A33-'Financial Model &amp; DCF'!$D$138)+'Financial Model &amp; DCF'!$D$139*('Financial Model &amp; DCF'!$R$151+'Financial Model &amp; DCF'!$R$153))/2)*(1+$A33)^-'Financial Model &amp; DCF'!$R$148)-('Financial Model &amp; DCF'!$H$52-'Financial Model &amp; DCF'!$H$44))/'Financial Model &amp; DCF'!$D$136</f>
        <v>142.427675175942</v>
      </c>
      <c r="D33" s="47" t="n">
        <f aca="false">(D$28*(SUMPRODUCT('Financial Model &amp; DCF'!$I$158:$R$158,(1+$A33)^-('Financial Model &amp; DCF'!$I$148:$R$148))+(('Financial Model &amp; DCF'!$R$156*(1+'Financial Model &amp; DCF'!$D$138)/($A33-'Financial Model &amp; DCF'!$D$138)+'Financial Model &amp; DCF'!$D$139*('Financial Model &amp; DCF'!$R$151+'Financial Model &amp; DCF'!$R$153))/2)*(1+$A33)^-'Financial Model &amp; DCF'!$R$148)-('Financial Model &amp; DCF'!$H$52-'Financial Model &amp; DCF'!$H$44))/'Financial Model &amp; DCF'!$D$136</f>
        <v>167.321161971696</v>
      </c>
      <c r="E33" s="47" t="n">
        <f aca="false">(E$28*(SUMPRODUCT('Financial Model &amp; DCF'!$I$158:$R$158,(1+$A33)^-('Financial Model &amp; DCF'!$I$148:$R$148))+(('Financial Model &amp; DCF'!$R$156*(1+'Financial Model &amp; DCF'!$D$138)/($A33-'Financial Model &amp; DCF'!$D$138)+'Financial Model &amp; DCF'!$D$139*('Financial Model &amp; DCF'!$R$151+'Financial Model &amp; DCF'!$R$153))/2)*(1+$A33)^-'Financial Model &amp; DCF'!$R$148)-('Financial Model &amp; DCF'!$H$52-'Financial Model &amp; DCF'!$H$44))/'Financial Model &amp; DCF'!$D$136</f>
        <v>192.214648767451</v>
      </c>
      <c r="F33" s="47" t="n">
        <f aca="false">(F$28*(SUMPRODUCT('Financial Model &amp; DCF'!$I$158:$R$158,(1+$A33)^-('Financial Model &amp; DCF'!$I$148:$R$148))+(('Financial Model &amp; DCF'!$R$156*(1+'Financial Model &amp; DCF'!$D$138)/($A33-'Financial Model &amp; DCF'!$D$138)+'Financial Model &amp; DCF'!$D$139*('Financial Model &amp; DCF'!$R$151+'Financial Model &amp; DCF'!$R$153))/2)*(1+$A33)^-'Financial Model &amp; DCF'!$R$148)-('Financial Model &amp; DCF'!$H$52-'Financial Model &amp; DCF'!$H$44))/'Financial Model &amp; DCF'!$D$136</f>
        <v>217.108135563205</v>
      </c>
    </row>
    <row r="35" customFormat="false" ht="16.15" hidden="false" customHeight="false" outlineLevel="0" collapsed="false">
      <c r="A35" s="15" t="s">
        <v>260</v>
      </c>
      <c r="B35" s="16"/>
      <c r="C35" s="16"/>
      <c r="D35" s="16"/>
      <c r="E35" s="16"/>
      <c r="F35" s="16"/>
      <c r="G35" s="16"/>
      <c r="H35" s="16"/>
      <c r="I35" s="16"/>
      <c r="J35" s="16"/>
    </row>
    <row r="36" customFormat="false" ht="15" hidden="false" customHeight="false" outlineLevel="0" collapsed="false">
      <c r="A36" s="1" t="s">
        <v>261</v>
      </c>
    </row>
    <row r="38" customFormat="false" ht="15" hidden="false" customHeight="false" outlineLevel="0" collapsed="false">
      <c r="B38" s="51" t="s">
        <v>262</v>
      </c>
      <c r="C38" s="52" t="n">
        <f aca="false">YEAR('Financial Model &amp; DCF'!I$145)</f>
        <v>2026</v>
      </c>
      <c r="D38" s="52" t="n">
        <f aca="false">YEAR('Financial Model &amp; DCF'!J$145)</f>
        <v>2027</v>
      </c>
      <c r="E38" s="52" t="n">
        <f aca="false">YEAR('Financial Model &amp; DCF'!K$145)</f>
        <v>2028</v>
      </c>
      <c r="F38" s="52" t="n">
        <f aca="false">YEAR('Financial Model &amp; DCF'!L$145)</f>
        <v>2029</v>
      </c>
      <c r="G38" s="52" t="n">
        <f aca="false">YEAR('Financial Model &amp; DCF'!M$145)</f>
        <v>2030</v>
      </c>
      <c r="H38" s="52" t="n">
        <f aca="false">YEAR('Financial Model &amp; DCF'!N$145)</f>
        <v>2031</v>
      </c>
      <c r="I38" s="52" t="n">
        <f aca="false">YEAR('Financial Model &amp; DCF'!O$145)</f>
        <v>2032</v>
      </c>
      <c r="J38" s="52" t="n">
        <f aca="false">YEAR('Financial Model &amp; DCF'!P$145)</f>
        <v>2033</v>
      </c>
      <c r="K38" s="52" t="n">
        <f aca="false">YEAR('Financial Model &amp; DCF'!Q$145)</f>
        <v>2034</v>
      </c>
      <c r="L38" s="52" t="n">
        <f aca="false">YEAR('Financial Model &amp; DCF'!R$145)</f>
        <v>2035</v>
      </c>
      <c r="N38" s="2" t="s">
        <v>263</v>
      </c>
      <c r="O38" s="2" t="s">
        <v>264</v>
      </c>
      <c r="P38" s="2" t="s">
        <v>265</v>
      </c>
    </row>
    <row r="39" customFormat="false" ht="15" hidden="false" customHeight="false" outlineLevel="0" collapsed="false">
      <c r="A39" s="1" t="s">
        <v>266</v>
      </c>
      <c r="B39" s="53" t="n">
        <f aca="false">SUMPRODUCT('Financial Model &amp; DCF'!$I$158:$R$158,(1+$N39)^-('Financial Model &amp; DCF'!$I$148:$R$148))+(('Financial Model &amp; DCF'!$R$156*(1+$O39)/($N39-$O39)+'Financial Model &amp; DCF'!$D$139*('Financial Model &amp; DCF'!$R$151+'Financial Model &amp; DCF'!$R$153))/2)*(1+$N39)^-'Financial Model &amp; DCF'!$R$148</f>
        <v>2386.98558943007</v>
      </c>
      <c r="C39" s="53" t="n">
        <f aca="false">B39*(1+$N39)^'Financial Model &amp; DCF'!I$147-'Financial Model &amp; DCF'!I$158</f>
        <v>2409.38741344359</v>
      </c>
      <c r="D39" s="53" t="n">
        <f aca="false">C39*(1+$N39)^'Financial Model &amp; DCF'!J$147-'Financial Model &amp; DCF'!J$158</f>
        <v>2536.26376709058</v>
      </c>
      <c r="E39" s="53" t="n">
        <f aca="false">D39*(1+$N39)^'Financial Model &amp; DCF'!K$147-'Financial Model &amp; DCF'!K$158</f>
        <v>2669.34462282962</v>
      </c>
      <c r="F39" s="53" t="n">
        <f aca="false">E39*(1+$N39)^'Financial Model &amp; DCF'!L$147-'Financial Model &amp; DCF'!L$158</f>
        <v>2808.64097643651</v>
      </c>
      <c r="G39" s="53" t="n">
        <f aca="false">F39*(1+$N39)^'Financial Model &amp; DCF'!M$147-'Financial Model &amp; DCF'!M$158</f>
        <v>2954.10065197917</v>
      </c>
      <c r="H39" s="53" t="n">
        <f aca="false">G39*(1+$N39)^'Financial Model &amp; DCF'!N$147-'Financial Model &amp; DCF'!N$158</f>
        <v>3106.15529585105</v>
      </c>
      <c r="I39" s="53" t="n">
        <f aca="false">H39*(1+$N39)^'Financial Model &amp; DCF'!O$147-'Financial Model &amp; DCF'!O$158</f>
        <v>3264.86059727423</v>
      </c>
      <c r="J39" s="53" t="n">
        <f aca="false">I39*(1+$N39)^'Financial Model &amp; DCF'!P$147-'Financial Model &amp; DCF'!P$158</f>
        <v>3431.40102484177</v>
      </c>
      <c r="K39" s="53" t="n">
        <f aca="false">J39*(1+$N39)^'Financial Model &amp; DCF'!Q$147-'Financial Model &amp; DCF'!Q$158</f>
        <v>3605.64420813122</v>
      </c>
      <c r="L39" s="53" t="n">
        <f aca="false">K39*(1+$N39)^'Financial Model &amp; DCF'!R$147-'Financial Model &amp; DCF'!R$158</f>
        <v>3788.71368751244</v>
      </c>
      <c r="N39" s="31" t="n">
        <f aca="false">'Financial Model &amp; DCF'!$R$149+0.02</f>
        <v>0.1066</v>
      </c>
      <c r="O39" s="31" t="n">
        <f aca="false">'Financial Model &amp; DCF'!$D$138+-0.005</f>
        <v>0.0382</v>
      </c>
      <c r="P39" s="21" t="n">
        <v>0.25</v>
      </c>
    </row>
    <row r="40" customFormat="false" ht="15" hidden="false" customHeight="false" outlineLevel="0" collapsed="false">
      <c r="A40" s="2" t="s">
        <v>267</v>
      </c>
      <c r="B40" s="25" t="n">
        <f aca="false">(B39-('Financial Model &amp; DCF'!$H$52-'Financial Model &amp; DCF'!$H$44))/'Financial Model &amp; DCF'!$D$136</f>
        <v>163.87721877928</v>
      </c>
      <c r="C40" s="25" t="n">
        <f aca="false">(C39-('Financial Model &amp; DCF'!$H$52-'Financial Model &amp; DCF'!$H$44))/'Financial Model &amp; DCF'!$D$136</f>
        <v>165.402397429438</v>
      </c>
      <c r="D40" s="25" t="n">
        <f aca="false">(D39-('Financial Model &amp; DCF'!$H$52-'Financial Model &amp; DCF'!$H$44))/'Financial Model &amp; DCF'!$D$136</f>
        <v>174.040493402136</v>
      </c>
      <c r="E40" s="25" t="n">
        <f aca="false">(E39-('Financial Model &amp; DCF'!$H$52-'Financial Model &amp; DCF'!$H$44))/'Financial Model &amp; DCF'!$D$136</f>
        <v>183.101009179577</v>
      </c>
      <c r="F40" s="25" t="n">
        <f aca="false">(F39-('Financial Model &amp; DCF'!$H$52-'Financial Model &amp; DCF'!$H$44))/'Financial Model &amp; DCF'!$D$136</f>
        <v>192.584693384839</v>
      </c>
      <c r="G40" s="25" t="n">
        <f aca="false">(G39-('Financial Model &amp; DCF'!$H$52-'Financial Model &amp; DCF'!$H$44))/'Financial Model &amp; DCF'!$D$136</f>
        <v>202.487993734965</v>
      </c>
      <c r="H40" s="25" t="n">
        <f aca="false">(H39-('Financial Model &amp; DCF'!$H$52-'Financial Model &amp; DCF'!$H$44))/'Financial Model &amp; DCF'!$D$136</f>
        <v>212.840297920142</v>
      </c>
      <c r="I40" s="25" t="n">
        <f aca="false">(I39-('Financial Model &amp; DCF'!$H$52-'Financial Model &amp; DCF'!$H$44))/'Financial Model &amp; DCF'!$D$136</f>
        <v>223.645397417908</v>
      </c>
      <c r="J40" s="25" t="n">
        <f aca="false">(J39-('Financial Model &amp; DCF'!$H$52-'Financial Model &amp; DCF'!$H$44))/'Financial Model &amp; DCF'!$D$136</f>
        <v>234.98393415317</v>
      </c>
      <c r="K40" s="25" t="n">
        <f aca="false">(K39-('Financial Model &amp; DCF'!$H$52-'Financial Model &amp; DCF'!$H$44))/'Financial Model &amp; DCF'!$D$136</f>
        <v>246.846895978433</v>
      </c>
      <c r="L40" s="25" t="n">
        <f aca="false">(L39-('Financial Model &amp; DCF'!$H$52-'Financial Model &amp; DCF'!$H$44))/'Financial Model &amp; DCF'!$D$136</f>
        <v>259.310776655259</v>
      </c>
    </row>
    <row r="41" customFormat="false" ht="15" hidden="false" customHeight="false" outlineLevel="0" collapsed="false">
      <c r="A41" s="1" t="s">
        <v>268</v>
      </c>
      <c r="B41" s="53" t="n">
        <f aca="false">SUMPRODUCT('Financial Model &amp; DCF'!$I$158:$R$158,(1+$N41)^-('Financial Model &amp; DCF'!$I$148:$R$148))+(('Financial Model &amp; DCF'!$R$156*(1+$O41)/($N41-$O41)+'Financial Model &amp; DCF'!$D$139*('Financial Model &amp; DCF'!$R$151+'Financial Model &amp; DCF'!$R$153))/2)*(1+$N41)^-'Financial Model &amp; DCF'!$R$148</f>
        <v>3157.1568925832</v>
      </c>
      <c r="C41" s="53" t="n">
        <f aca="false">B41*(1+$N41)^'Financial Model &amp; DCF'!I$147-'Financial Model &amp; DCF'!I$158</f>
        <v>3183.5350857342</v>
      </c>
      <c r="D41" s="53" t="n">
        <f aca="false">C41*(1+$N41)^'Financial Model &amp; DCF'!J$147-'Financial Model &amp; DCF'!J$158</f>
        <v>3329.26487953268</v>
      </c>
      <c r="E41" s="53" t="n">
        <f aca="false">D41*(1+$N41)^'Financial Model &amp; DCF'!K$147-'Financial Model &amp; DCF'!K$158</f>
        <v>3480.2943562674</v>
      </c>
      <c r="F41" s="53" t="n">
        <f aca="false">E41*(1+$N41)^'Financial Model &amp; DCF'!L$147-'Financial Model &amp; DCF'!L$158</f>
        <v>3636.43206433341</v>
      </c>
      <c r="G41" s="53" t="n">
        <f aca="false">F41*(1+$N41)^'Financial Model &amp; DCF'!M$147-'Financial Model &amp; DCF'!M$158</f>
        <v>3797.40562855921</v>
      </c>
      <c r="H41" s="53" t="n">
        <f aca="false">G41*(1+$N41)^'Financial Model &amp; DCF'!N$147-'Financial Model &amp; DCF'!N$158</f>
        <v>3963.40847036334</v>
      </c>
      <c r="I41" s="53" t="n">
        <f aca="false">H41*(1+$N41)^'Financial Model &amp; DCF'!O$147-'Financial Model &amp; DCF'!O$158</f>
        <v>4134.22879078226</v>
      </c>
      <c r="J41" s="53" t="n">
        <f aca="false">I41*(1+$N41)^'Financial Model &amp; DCF'!P$147-'Financial Model &amp; DCF'!P$158</f>
        <v>4310.75929196211</v>
      </c>
      <c r="K41" s="53" t="n">
        <f aca="false">J41*(1+$N41)^'Financial Model &amp; DCF'!Q$147-'Financial Model &amp; DCF'!Q$158</f>
        <v>4492.52688068735</v>
      </c>
      <c r="L41" s="53" t="n">
        <f aca="false">K41*(1+$N41)^'Financial Model &amp; DCF'!R$147-'Financial Model &amp; DCF'!R$158</f>
        <v>4680.28751534931</v>
      </c>
      <c r="N41" s="31" t="n">
        <f aca="false">'Financial Model &amp; DCF'!$R$149</f>
        <v>0.0866</v>
      </c>
      <c r="O41" s="31" t="n">
        <f aca="false">'Financial Model &amp; DCF'!$D$138</f>
        <v>0.0432</v>
      </c>
      <c r="P41" s="21" t="n">
        <v>0.5</v>
      </c>
    </row>
    <row r="42" customFormat="false" ht="15" hidden="false" customHeight="false" outlineLevel="0" collapsed="false">
      <c r="A42" s="2" t="s">
        <v>269</v>
      </c>
      <c r="B42" s="25" t="n">
        <f aca="false">(B41-('Financial Model &amp; DCF'!$H$52-'Financial Model &amp; DCF'!$H$44))/'Financial Model &amp; DCF'!$D$136</f>
        <v>216.312628852342</v>
      </c>
      <c r="C42" s="25" t="n">
        <f aca="false">(C41-('Financial Model &amp; DCF'!$H$52-'Financial Model &amp; DCF'!$H$44))/'Financial Model &amp; DCF'!$D$136</f>
        <v>218.108529802165</v>
      </c>
      <c r="D42" s="25" t="n">
        <f aca="false">(D41-('Financial Model &amp; DCF'!$H$52-'Financial Model &amp; DCF'!$H$44))/'Financial Model &amp; DCF'!$D$136</f>
        <v>228.030220556419</v>
      </c>
      <c r="E42" s="25" t="n">
        <f aca="false">(E41-('Financial Model &amp; DCF'!$H$52-'Financial Model &amp; DCF'!$H$44))/'Financial Model &amp; DCF'!$D$136</f>
        <v>238.312728504044</v>
      </c>
      <c r="F42" s="25" t="n">
        <f aca="false">(F41-('Financial Model &amp; DCF'!$H$52-'Financial Model &amp; DCF'!$H$44))/'Financial Model &amp; DCF'!$D$136</f>
        <v>248.94301908588</v>
      </c>
      <c r="G42" s="25" t="n">
        <f aca="false">(G41-('Financial Model &amp; DCF'!$H$52-'Financial Model &amp; DCF'!$H$44))/'Financial Model &amp; DCF'!$D$136</f>
        <v>259.902548240687</v>
      </c>
      <c r="H42" s="25" t="n">
        <f aca="false">(H41-('Financial Model &amp; DCF'!$H$52-'Financial Model &amp; DCF'!$H$44))/'Financial Model &amp; DCF'!$D$136</f>
        <v>271.204484638027</v>
      </c>
      <c r="I42" s="25" t="n">
        <f aca="false">(I41-('Financial Model &amp; DCF'!$H$52-'Financial Model &amp; DCF'!$H$44))/'Financial Model &amp; DCF'!$D$136</f>
        <v>282.834408413825</v>
      </c>
      <c r="J42" s="25" t="n">
        <f aca="false">(J41-('Financial Model &amp; DCF'!$H$52-'Financial Model &amp; DCF'!$H$44))/'Financial Model &amp; DCF'!$D$136</f>
        <v>294.853097219642</v>
      </c>
      <c r="K42" s="25" t="n">
        <f aca="false">(K41-('Financial Model &amp; DCF'!$H$52-'Financial Model &amp; DCF'!$H$44))/'Financial Model &amp; DCF'!$D$136</f>
        <v>307.228341550065</v>
      </c>
      <c r="L42" s="25" t="n">
        <f aca="false">(L41-('Financial Model &amp; DCF'!$H$52-'Financial Model &amp; DCF'!$H$44))/'Financial Model &amp; DCF'!$D$136</f>
        <v>320.011609160492</v>
      </c>
    </row>
    <row r="43" customFormat="false" ht="15" hidden="false" customHeight="false" outlineLevel="0" collapsed="false">
      <c r="A43" s="1" t="s">
        <v>270</v>
      </c>
      <c r="B43" s="53" t="n">
        <f aca="false">SUMPRODUCT('Financial Model &amp; DCF'!$I$158:$R$158,(1+$N43)^-('Financial Model &amp; DCF'!$I$148:$R$148))+(('Financial Model &amp; DCF'!$R$156*(1+$O43)/($N43-$O43)+'Financial Model &amp; DCF'!$D$139*('Financial Model &amp; DCF'!$R$151+'Financial Model &amp; DCF'!$R$153))/2)*(1+$N43)^-'Financial Model &amp; DCF'!$R$148</f>
        <v>5489.26309955965</v>
      </c>
      <c r="C43" s="53" t="n">
        <f aca="false">B43*(1+$N43)^'Financial Model &amp; DCF'!I$147-'Financial Model &amp; DCF'!I$158</f>
        <v>5533.75240852241</v>
      </c>
      <c r="D43" s="53" t="n">
        <f aca="false">C43*(1+$N43)^'Financial Model &amp; DCF'!J$147-'Financial Model &amp; DCF'!J$158</f>
        <v>5772.3359743039</v>
      </c>
      <c r="E43" s="53" t="n">
        <f aca="false">D43*(1+$N43)^'Financial Model &amp; DCF'!K$147-'Financial Model &amp; DCF'!K$158</f>
        <v>6019.48868835973</v>
      </c>
      <c r="F43" s="53" t="n">
        <f aca="false">E43*(1+$N43)^'Financial Model &amp; DCF'!L$147-'Financial Model &amp; DCF'!L$158</f>
        <v>6275.13085181774</v>
      </c>
      <c r="G43" s="53" t="n">
        <f aca="false">F43*(1+$N43)^'Financial Model &amp; DCF'!M$147-'Financial Model &amp; DCF'!M$158</f>
        <v>6539.11311400333</v>
      </c>
      <c r="H43" s="53" t="n">
        <f aca="false">G43*(1+$N43)^'Financial Model &amp; DCF'!N$147-'Financial Model &amp; DCF'!N$158</f>
        <v>6811.76556176685</v>
      </c>
      <c r="I43" s="53" t="n">
        <f aca="false">H43*(1+$N43)^'Financial Model &amp; DCF'!O$147-'Financial Model &amp; DCF'!O$158</f>
        <v>7093.01829506598</v>
      </c>
      <c r="J43" s="53" t="n">
        <f aca="false">I43*(1+$N43)^'Financial Model &amp; DCF'!P$147-'Financial Model &amp; DCF'!P$158</f>
        <v>7383.91960141548</v>
      </c>
      <c r="K43" s="53" t="n">
        <f aca="false">J43*(1+$N43)^'Financial Model &amp; DCF'!Q$147-'Financial Model &amp; DCF'!Q$158</f>
        <v>7684.14448091107</v>
      </c>
      <c r="L43" s="53" t="n">
        <f aca="false">K43*(1+$N43)^'Financial Model &amp; DCF'!R$147-'Financial Model &amp; DCF'!R$158</f>
        <v>7994.61631013418</v>
      </c>
      <c r="N43" s="31" t="n">
        <f aca="false">'Financial Model &amp; DCF'!$R$149+-0.02</f>
        <v>0.0666</v>
      </c>
      <c r="O43" s="31" t="n">
        <f aca="false">'Financial Model &amp; DCF'!$D$138+0.005</f>
        <v>0.0482</v>
      </c>
      <c r="P43" s="21" t="n">
        <v>0.25</v>
      </c>
    </row>
    <row r="44" customFormat="false" ht="15" hidden="false" customHeight="false" outlineLevel="0" collapsed="false">
      <c r="A44" s="2" t="s">
        <v>271</v>
      </c>
      <c r="B44" s="25" t="n">
        <f aca="false">(B43-('Financial Model &amp; DCF'!$H$52-'Financial Model &amp; DCF'!$H$44))/'Financial Model &amp; DCF'!$D$136</f>
        <v>375.088922900303</v>
      </c>
      <c r="C44" s="25" t="n">
        <f aca="false">(C43-('Financial Model &amp; DCF'!$H$52-'Financial Model &amp; DCF'!$H$44))/'Financial Model &amp; DCF'!$D$136</f>
        <v>378.117879120534</v>
      </c>
      <c r="D44" s="25" t="n">
        <f aca="false">(D43-('Financial Model &amp; DCF'!$H$52-'Financial Model &amp; DCF'!$H$44))/'Financial Model &amp; DCF'!$D$136</f>
        <v>394.361313610015</v>
      </c>
      <c r="E44" s="25" t="n">
        <f aca="false">(E43-('Financial Model &amp; DCF'!$H$52-'Financial Model &amp; DCF'!$H$44))/'Financial Model &amp; DCF'!$D$136</f>
        <v>411.188159610548</v>
      </c>
      <c r="F44" s="25" t="n">
        <f aca="false">(F43-('Financial Model &amp; DCF'!$H$52-'Financial Model &amp; DCF'!$H$44))/'Financial Model &amp; DCF'!$D$136</f>
        <v>428.592991000663</v>
      </c>
      <c r="G44" s="25" t="n">
        <f aca="false">(G43-('Financial Model &amp; DCF'!$H$52-'Financial Model &amp; DCF'!$H$44))/'Financial Model &amp; DCF'!$D$136</f>
        <v>446.565639569943</v>
      </c>
      <c r="H44" s="25" t="n">
        <f aca="false">(H43-('Financial Model &amp; DCF'!$H$52-'Financial Model &amp; DCF'!$H$44))/'Financial Model &amp; DCF'!$D$136</f>
        <v>465.128578551665</v>
      </c>
      <c r="I44" s="25" t="n">
        <f aca="false">(I43-('Financial Model &amp; DCF'!$H$52-'Financial Model &amp; DCF'!$H$44))/'Financial Model &amp; DCF'!$D$136</f>
        <v>484.277048956017</v>
      </c>
      <c r="J44" s="25" t="n">
        <f aca="false">(J43-('Financial Model &amp; DCF'!$H$52-'Financial Model &amp; DCF'!$H$44))/'Financial Model &amp; DCF'!$D$136</f>
        <v>504.082421120335</v>
      </c>
      <c r="K44" s="25" t="n">
        <f aca="false">(K43-('Financial Model &amp; DCF'!$H$52-'Financial Model &amp; DCF'!$H$44))/'Financial Model &amp; DCF'!$D$136</f>
        <v>524.522568144817</v>
      </c>
      <c r="L44" s="25" t="n">
        <f aca="false">(L43-('Financial Model &amp; DCF'!$H$52-'Financial Model &amp; DCF'!$H$44))/'Financial Model &amp; DCF'!$D$136</f>
        <v>545.66035608212</v>
      </c>
    </row>
    <row r="45" customFormat="false" ht="15" hidden="false" customHeight="false" outlineLevel="0" collapsed="false">
      <c r="A45" s="11" t="s">
        <v>272</v>
      </c>
      <c r="B45" s="54" t="n">
        <f aca="false">'Financial Model &amp; DCF'!$D$135</f>
        <v>333.74</v>
      </c>
      <c r="C45" s="54" t="n">
        <f aca="false">'Financial Model &amp; DCF'!$D$135</f>
        <v>333.74</v>
      </c>
      <c r="D45" s="54" t="n">
        <f aca="false">'Financial Model &amp; DCF'!$D$135</f>
        <v>333.74</v>
      </c>
      <c r="E45" s="54" t="n">
        <f aca="false">'Financial Model &amp; DCF'!$D$135</f>
        <v>333.74</v>
      </c>
      <c r="F45" s="54" t="n">
        <f aca="false">'Financial Model &amp; DCF'!$D$135</f>
        <v>333.74</v>
      </c>
      <c r="G45" s="54" t="n">
        <f aca="false">'Financial Model &amp; DCF'!$D$135</f>
        <v>333.74</v>
      </c>
      <c r="H45" s="54" t="n">
        <f aca="false">'Financial Model &amp; DCF'!$D$135</f>
        <v>333.74</v>
      </c>
      <c r="I45" s="54" t="n">
        <f aca="false">'Financial Model &amp; DCF'!$D$135</f>
        <v>333.74</v>
      </c>
      <c r="J45" s="54" t="n">
        <f aca="false">'Financial Model &amp; DCF'!$D$135</f>
        <v>333.74</v>
      </c>
      <c r="K45" s="54" t="n">
        <f aca="false">'Financial Model &amp; DCF'!$D$135</f>
        <v>333.74</v>
      </c>
      <c r="L45" s="54" t="n">
        <f aca="false">'Financial Model &amp; DCF'!$D$135</f>
        <v>333.74</v>
      </c>
    </row>
    <row r="46" customFormat="false" ht="15" hidden="false" customHeight="false" outlineLevel="0" collapsed="false">
      <c r="A46" s="2" t="s">
        <v>273</v>
      </c>
      <c r="B46" s="25" t="n">
        <f aca="false">B40*$P$39+B42*$P$41+B44*$P$43</f>
        <v>242.897849846067</v>
      </c>
      <c r="P46" s="55" t="n">
        <f aca="false">P39+P41+P43</f>
        <v>1</v>
      </c>
    </row>
    <row r="47" customFormat="false" ht="15" hidden="false" customHeight="false" outlineLevel="0" collapsed="false">
      <c r="A47" s="1" t="s">
        <v>274</v>
      </c>
    </row>
    <row r="70" customFormat="false" ht="16.15" hidden="false" customHeight="false" outlineLevel="0" collapsed="false">
      <c r="A70" s="15" t="s">
        <v>275</v>
      </c>
      <c r="B70" s="16"/>
      <c r="C70" s="16"/>
      <c r="D70" s="16"/>
      <c r="E70" s="16"/>
      <c r="F70" s="16"/>
      <c r="G70" s="16"/>
      <c r="H70" s="16"/>
      <c r="I70" s="16"/>
      <c r="J70" s="16"/>
    </row>
    <row r="71" customFormat="false" ht="15" hidden="false" customHeight="false" outlineLevel="0" collapsed="false">
      <c r="A71" s="1" t="s">
        <v>276</v>
      </c>
    </row>
    <row r="72" customFormat="false" ht="15" hidden="false" customHeight="false" outlineLevel="0" collapsed="false">
      <c r="A72" s="3" t="s">
        <v>277</v>
      </c>
      <c r="B72" s="4" t="n">
        <v>0</v>
      </c>
    </row>
    <row r="73" customFormat="false" ht="15" hidden="false" customHeight="false" outlineLevel="0" collapsed="false">
      <c r="A73" s="3" t="s">
        <v>278</v>
      </c>
      <c r="B73" s="4" t="n">
        <v>0</v>
      </c>
    </row>
    <row r="74" customFormat="false" ht="15" hidden="false" customHeight="false" outlineLevel="0" collapsed="false">
      <c r="A74" s="3" t="s">
        <v>279</v>
      </c>
      <c r="B74" s="22" t="n">
        <f aca="false">'Financial Model &amp; DCF'!$D$136+B72</f>
        <v>14.688</v>
      </c>
    </row>
    <row r="75" customFormat="false" ht="15" hidden="false" customHeight="false" outlineLevel="0" collapsed="false">
      <c r="A75" s="3" t="s">
        <v>280</v>
      </c>
      <c r="B75" s="22" t="n">
        <f aca="false">'Financial Model &amp; DCF'!$D$170+B73</f>
        <v>3145.1441237374</v>
      </c>
    </row>
    <row r="76" customFormat="false" ht="15" hidden="false" customHeight="false" outlineLevel="0" collapsed="false">
      <c r="A76" s="2" t="s">
        <v>281</v>
      </c>
      <c r="B76" s="25" t="n">
        <f aca="false">B75/B74</f>
        <v>214.130182716326</v>
      </c>
    </row>
    <row r="77" customFormat="false" ht="15" hidden="false" customHeight="false" outlineLevel="0" collapsed="false">
      <c r="A77" s="3" t="s">
        <v>282</v>
      </c>
      <c r="B77" s="39" t="n">
        <f aca="false">B76/'Financial Model &amp; DCF'!$D$135-1</f>
        <v>-0.358392213350734</v>
      </c>
    </row>
    <row r="80" customFormat="false" ht="16.15" hidden="false" customHeight="false" outlineLevel="0" collapsed="false">
      <c r="A80" s="15" t="s">
        <v>283</v>
      </c>
      <c r="B80" s="16"/>
      <c r="C80" s="16"/>
      <c r="D80" s="16"/>
      <c r="E80" s="16"/>
      <c r="F80" s="16"/>
      <c r="G80" s="16"/>
      <c r="H80" s="16"/>
      <c r="I80" s="16"/>
      <c r="J80" s="16"/>
    </row>
    <row r="82" customFormat="false" ht="15" hidden="false" customHeight="false" outlineLevel="0" collapsed="false">
      <c r="A82" s="1" t="s">
        <v>284</v>
      </c>
    </row>
    <row r="83" customFormat="false" ht="15" hidden="false" customHeight="false" outlineLevel="0" collapsed="false">
      <c r="A83" s="1" t="s">
        <v>285</v>
      </c>
    </row>
    <row r="84" customFormat="false" ht="15" hidden="false" customHeight="false" outlineLevel="0" collapsed="false">
      <c r="A84" s="1" t="s">
        <v>286</v>
      </c>
    </row>
    <row r="85" customFormat="false" ht="15" hidden="false" customHeight="false" outlineLevel="0" collapsed="false">
      <c r="A85" s="1" t="s">
        <v>287</v>
      </c>
    </row>
    <row r="86" customFormat="false" ht="15" hidden="false" customHeight="false" outlineLevel="0" collapsed="false">
      <c r="A86" s="1" t="s">
        <v>288</v>
      </c>
    </row>
    <row r="87" customFormat="false" ht="15" hidden="false" customHeight="false" outlineLevel="0" collapsed="false">
      <c r="A87" s="1" t="s">
        <v>289</v>
      </c>
    </row>
    <row r="88" customFormat="false" ht="15" hidden="false" customHeight="false" outlineLevel="0" collapsed="false">
      <c r="A88" s="1" t="s">
        <v>290</v>
      </c>
    </row>
    <row r="89" customFormat="false" ht="15" hidden="false" customHeight="false" outlineLevel="0" collapsed="false">
      <c r="A89" s="1" t="s">
        <v>291</v>
      </c>
    </row>
    <row r="93" customFormat="false" ht="16.15" hidden="false" customHeight="false" outlineLevel="0" collapsed="false">
      <c r="A93" s="15" t="s">
        <v>292</v>
      </c>
      <c r="B93" s="16"/>
      <c r="C93" s="16"/>
      <c r="D93" s="16"/>
      <c r="E93" s="16"/>
      <c r="F93" s="16"/>
      <c r="G93" s="16"/>
      <c r="H93" s="16"/>
      <c r="I93" s="16"/>
      <c r="J93" s="16"/>
    </row>
    <row r="94" customFormat="false" ht="15" hidden="false" customHeight="false" outlineLevel="0" collapsed="false">
      <c r="A94" s="1" t="s">
        <v>293</v>
      </c>
    </row>
    <row r="96" customFormat="false" ht="15" hidden="false" customHeight="false" outlineLevel="0" collapsed="false">
      <c r="A96" s="56" t="s">
        <v>294</v>
      </c>
    </row>
    <row r="97" customFormat="false" ht="15" hidden="false" customHeight="false" outlineLevel="0" collapsed="false">
      <c r="A97" s="1" t="s">
        <v>295</v>
      </c>
    </row>
    <row r="112" customFormat="false" ht="16.15" hidden="false" customHeight="false" outlineLevel="0" collapsed="false">
      <c r="A112" s="15" t="s">
        <v>296</v>
      </c>
      <c r="B112" s="16"/>
      <c r="C112" s="16"/>
      <c r="D112" s="16"/>
      <c r="E112" s="16"/>
      <c r="F112" s="16"/>
      <c r="G112" s="16"/>
      <c r="H112" s="16"/>
      <c r="I112" s="16"/>
      <c r="J112" s="16"/>
    </row>
    <row r="113" customFormat="false" ht="15" hidden="false" customHeight="false" outlineLevel="0" collapsed="false">
      <c r="A113" s="1" t="s">
        <v>297</v>
      </c>
    </row>
    <row r="114" customFormat="false" ht="15" hidden="false" customHeight="false" outlineLevel="0" collapsed="false">
      <c r="A114" s="3" t="s">
        <v>298</v>
      </c>
      <c r="B114" s="21" t="n">
        <v>0</v>
      </c>
    </row>
    <row r="115" customFormat="false" ht="15" hidden="false" customHeight="false" outlineLevel="0" collapsed="false">
      <c r="A115" s="3" t="s">
        <v>299</v>
      </c>
      <c r="B115" s="22" t="n">
        <f aca="false">-'Financial Model &amp; DCF'!$D$135*(1+B114)*'Financial Model &amp; DCF'!$D$136</f>
        <v>-4901.97312</v>
      </c>
    </row>
    <row r="116" customFormat="false" ht="15" hidden="false" customHeight="false" outlineLevel="0" collapsed="false">
      <c r="A116" s="3" t="s">
        <v>300</v>
      </c>
      <c r="B116" s="32" t="n">
        <f aca="false">'Financial Model &amp; DCF'!$D$139</f>
        <v>18</v>
      </c>
    </row>
    <row r="117" customFormat="false" ht="15" hidden="false" customHeight="false" outlineLevel="0" collapsed="false">
      <c r="A117" s="2" t="s">
        <v>301</v>
      </c>
      <c r="B117" s="22" t="n">
        <f aca="false">B115</f>
        <v>-4901.97312</v>
      </c>
      <c r="C117" s="22" t="n">
        <f aca="false">-'Financial Model &amp; DCF'!I$77</f>
        <v>105</v>
      </c>
      <c r="D117" s="22" t="n">
        <f aca="false">-'Financial Model &amp; DCF'!J$77</f>
        <v>105</v>
      </c>
      <c r="E117" s="22" t="n">
        <f aca="false">-'Financial Model &amp; DCF'!K$77</f>
        <v>105</v>
      </c>
      <c r="F117" s="22" t="n">
        <f aca="false">-'Financial Model &amp; DCF'!L$77</f>
        <v>105</v>
      </c>
      <c r="G117" s="22" t="n">
        <f aca="false">-'Financial Model &amp; DCF'!M$77</f>
        <v>105</v>
      </c>
      <c r="H117" s="22" t="n">
        <f aca="false">-'Financial Model &amp; DCF'!N$77</f>
        <v>105</v>
      </c>
      <c r="I117" s="22" t="n">
        <f aca="false">-'Financial Model &amp; DCF'!O$77</f>
        <v>105</v>
      </c>
      <c r="J117" s="22" t="n">
        <f aca="false">-'Financial Model &amp; DCF'!P$77</f>
        <v>105</v>
      </c>
      <c r="K117" s="22" t="n">
        <f aca="false">-'Financial Model &amp; DCF'!Q$77</f>
        <v>105</v>
      </c>
      <c r="L117" s="22" t="n">
        <f aca="false">-'Financial Model &amp; DCF'!R$77+$B$116*('Financial Model &amp; DCF'!$R$151+'Financial Model &amp; DCF'!$R$153)-('Financial Model &amp; DCF'!$R$52-'Financial Model &amp; DCF'!$R$44)</f>
        <v>5175.89250070878</v>
      </c>
    </row>
    <row r="118" customFormat="false" ht="15" hidden="false" customHeight="false" outlineLevel="0" collapsed="false">
      <c r="A118" s="2" t="s">
        <v>302</v>
      </c>
      <c r="B118" s="40" t="n">
        <f aca="false">IFERROR(IRR(B117:L117),"n/m - owner cash flows never turn positive")</f>
        <v>0.0245027801065895</v>
      </c>
    </row>
    <row r="119" customFormat="false" ht="15" hidden="false" customHeight="false" outlineLevel="0" collapsed="false">
      <c r="A119" s="2" t="s">
        <v>303</v>
      </c>
      <c r="B119" s="57" t="n">
        <f aca="false">SUM(C117:L117)/-B115</f>
        <v>1.24865892791937</v>
      </c>
    </row>
    <row r="120" customFormat="false" ht="15" hidden="false" customHeight="false" outlineLevel="0" collapsed="false">
      <c r="A120" s="1" t="s">
        <v>304</v>
      </c>
    </row>
    <row r="122" customFormat="false" ht="15" hidden="false" customHeight="false" outlineLevel="0" collapsed="false">
      <c r="A122" s="1" t="s">
        <v>305</v>
      </c>
    </row>
    <row r="123" customFormat="false" ht="15" hidden="false" customHeight="false" outlineLevel="0" collapsed="false">
      <c r="B123" s="49" t="n">
        <f aca="false">$B$116+-2</f>
        <v>16</v>
      </c>
      <c r="C123" s="49" t="n">
        <f aca="false">$B$116+-1</f>
        <v>17</v>
      </c>
      <c r="D123" s="49" t="n">
        <f aca="false">$B$116+0</f>
        <v>18</v>
      </c>
      <c r="E123" s="49" t="n">
        <f aca="false">$B$116+1</f>
        <v>19</v>
      </c>
      <c r="F123" s="49" t="n">
        <f aca="false">$B$116+2</f>
        <v>20</v>
      </c>
    </row>
    <row r="124" customFormat="false" ht="15" hidden="false" customHeight="false" outlineLevel="0" collapsed="false">
      <c r="A124" s="40" t="n">
        <v>-0.2</v>
      </c>
      <c r="B124" s="58" t="n">
        <f aca="false">(((SUMPRODUCT(--(C$117:K$117))+(($B$116+-2)*('Financial Model &amp; DCF'!$R$151+'Financial Model &amp; DCF'!$R$153)-('Financial Model &amp; DCF'!$R$52-'Financial Model &amp; DCF'!$R$44)-'Financial Model &amp; DCF'!$R$77)))/('Financial Model &amp; DCF'!$D$135*(1+$A124)*'Financial Model &amp; DCF'!$D$136))^(1/10)-1</f>
        <v>0.0366100719826727</v>
      </c>
      <c r="C124" s="58" t="n">
        <f aca="false">(((SUMPRODUCT(--(C$117:K$117))+(($B$116+-1)*('Financial Model &amp; DCF'!$R$151+'Financial Model &amp; DCF'!$R$153)-('Financial Model &amp; DCF'!$R$52-'Financial Model &amp; DCF'!$R$44)-'Financial Model &amp; DCF'!$R$77)))/('Financial Model &amp; DCF'!$D$135*(1+$A124)*'Financial Model &amp; DCF'!$D$136))^(1/10)-1</f>
        <v>0.0411545974693279</v>
      </c>
      <c r="D124" s="58" t="n">
        <f aca="false">(((SUMPRODUCT(--(C$117:K$117))+(($B$116+0)*('Financial Model &amp; DCF'!$R$151+'Financial Model &amp; DCF'!$R$153)-('Financial Model &amp; DCF'!$R$52-'Financial Model &amp; DCF'!$R$44)-'Financial Model &amp; DCF'!$R$77)))/('Financial Model &amp; DCF'!$D$135*(1+$A124)*'Financial Model &amp; DCF'!$D$136))^(1/10)-1</f>
        <v>0.0455273161536041</v>
      </c>
      <c r="E124" s="58" t="n">
        <f aca="false">(((SUMPRODUCT(--(C$117:K$117))+(($B$116+1)*('Financial Model &amp; DCF'!$R$151+'Financial Model &amp; DCF'!$R$153)-('Financial Model &amp; DCF'!$R$52-'Financial Model &amp; DCF'!$R$44)-'Financial Model &amp; DCF'!$R$77)))/('Financial Model &amp; DCF'!$D$135*(1+$A124)*'Financial Model &amp; DCF'!$D$136))^(1/10)-1</f>
        <v>0.0497413893054159</v>
      </c>
      <c r="F124" s="58" t="n">
        <f aca="false">(((SUMPRODUCT(--(C$117:K$117))+(($B$116+2)*('Financial Model &amp; DCF'!$R$151+'Financial Model &amp; DCF'!$R$153)-('Financial Model &amp; DCF'!$R$52-'Financial Model &amp; DCF'!$R$44)-'Financial Model &amp; DCF'!$R$77)))/('Financial Model &amp; DCF'!$D$135*(1+$A124)*'Financial Model &amp; DCF'!$D$136))^(1/10)-1</f>
        <v>0.0538084987692453</v>
      </c>
    </row>
    <row r="125" customFormat="false" ht="15" hidden="false" customHeight="false" outlineLevel="0" collapsed="false">
      <c r="A125" s="40" t="n">
        <v>-0.1</v>
      </c>
      <c r="B125" s="58" t="n">
        <f aca="false">(((SUMPRODUCT(--(C$117:K$117))+(($B$116+-2)*('Financial Model &amp; DCF'!$R$151+'Financial Model &amp; DCF'!$R$153)-('Financial Model &amp; DCF'!$R$52-'Financial Model &amp; DCF'!$R$44)-'Financial Model &amp; DCF'!$R$77)))/('Financial Model &amp; DCF'!$D$135*(1+$A125)*'Financial Model &amp; DCF'!$D$136))^(1/10)-1</f>
        <v>0.0244721860504091</v>
      </c>
      <c r="C125" s="58" t="n">
        <f aca="false">(((SUMPRODUCT(--(C$117:K$117))+(($B$116+-1)*('Financial Model &amp; DCF'!$R$151+'Financial Model &amp; DCF'!$R$153)-('Financial Model &amp; DCF'!$R$52-'Financial Model &amp; DCF'!$R$44)-'Financial Model &amp; DCF'!$R$77)))/('Financial Model &amp; DCF'!$D$135*(1+$A125)*'Financial Model &amp; DCF'!$D$136))^(1/10)-1</f>
        <v>0.0289634987297953</v>
      </c>
      <c r="D125" s="58" t="n">
        <f aca="false">(((SUMPRODUCT(--(C$117:K$117))+(($B$116+0)*('Financial Model &amp; DCF'!$R$151+'Financial Model &amp; DCF'!$R$153)-('Financial Model &amp; DCF'!$R$52-'Financial Model &amp; DCF'!$R$44)-'Financial Model &amp; DCF'!$R$77)))/('Financial Model &amp; DCF'!$D$135*(1+$A125)*'Financial Model &amp; DCF'!$D$136))^(1/10)-1</f>
        <v>0.0332850163288823</v>
      </c>
      <c r="E125" s="58" t="n">
        <f aca="false">(((SUMPRODUCT(--(C$117:K$117))+(($B$116+1)*('Financial Model &amp; DCF'!$R$151+'Financial Model &amp; DCF'!$R$153)-('Financial Model &amp; DCF'!$R$52-'Financial Model &amp; DCF'!$R$44)-'Financial Model &amp; DCF'!$R$77)))/('Financial Model &amp; DCF'!$D$135*(1+$A125)*'Financial Model &amp; DCF'!$D$136))^(1/10)-1</f>
        <v>0.0374497460094994</v>
      </c>
      <c r="F125" s="58" t="n">
        <f aca="false">(((SUMPRODUCT(--(C$117:K$117))+(($B$116+2)*('Financial Model &amp; DCF'!$R$151+'Financial Model &amp; DCF'!$R$153)-('Financial Model &amp; DCF'!$R$52-'Financial Model &amp; DCF'!$R$44)-'Financial Model &amp; DCF'!$R$77)))/('Financial Model &amp; DCF'!$D$135*(1+$A125)*'Financial Model &amp; DCF'!$D$136))^(1/10)-1</f>
        <v>0.0414692328309485</v>
      </c>
    </row>
    <row r="126" customFormat="false" ht="15" hidden="false" customHeight="false" outlineLevel="0" collapsed="false">
      <c r="A126" s="40" t="n">
        <v>0</v>
      </c>
      <c r="B126" s="58" t="n">
        <f aca="false">(((SUMPRODUCT(--(C$117:K$117))+(($B$116+-2)*('Financial Model &amp; DCF'!$R$151+'Financial Model &amp; DCF'!$R$153)-('Financial Model &amp; DCF'!$R$52-'Financial Model &amp; DCF'!$R$44)-'Financial Model &amp; DCF'!$R$77)))/('Financial Model &amp; DCF'!$D$135*(1+$A126)*'Financial Model &amp; DCF'!$D$136))^(1/10)-1</f>
        <v>0.0137349575934995</v>
      </c>
      <c r="C126" s="58" t="n">
        <f aca="false">(((SUMPRODUCT(--(C$117:K$117))+(($B$116+-1)*('Financial Model &amp; DCF'!$R$151+'Financial Model &amp; DCF'!$R$153)-('Financial Model &amp; DCF'!$R$52-'Financial Model &amp; DCF'!$R$44)-'Financial Model &amp; DCF'!$R$77)))/('Financial Model &amp; DCF'!$D$135*(1+$A126)*'Financial Model &amp; DCF'!$D$136))^(1/10)-1</f>
        <v>0.0181791979843782</v>
      </c>
      <c r="D126" s="58" t="n">
        <f aca="false">(((SUMPRODUCT(--(C$117:K$117))+(($B$116+0)*('Financial Model &amp; DCF'!$R$151+'Financial Model &amp; DCF'!$R$153)-('Financial Model &amp; DCF'!$R$52-'Financial Model &amp; DCF'!$R$44)-'Financial Model &amp; DCF'!$R$77)))/('Financial Model &amp; DCF'!$D$135*(1+$A126)*'Financial Model &amp; DCF'!$D$136))^(1/10)-1</f>
        <v>0.0224554228733518</v>
      </c>
      <c r="E126" s="58" t="n">
        <f aca="false">(((SUMPRODUCT(--(C$117:K$117))+(($B$116+1)*('Financial Model &amp; DCF'!$R$151+'Financial Model &amp; DCF'!$R$153)-('Financial Model &amp; DCF'!$R$52-'Financial Model &amp; DCF'!$R$44)-'Financial Model &amp; DCF'!$R$77)))/('Financial Model &amp; DCF'!$D$135*(1+$A126)*'Financial Model &amp; DCF'!$D$136))^(1/10)-1</f>
        <v>0.0265765030975453</v>
      </c>
      <c r="F126" s="58" t="n">
        <f aca="false">(((SUMPRODUCT(--(C$117:K$117))+(($B$116+2)*('Financial Model &amp; DCF'!$R$151+'Financial Model &amp; DCF'!$R$153)-('Financial Model &amp; DCF'!$R$52-'Financial Model &amp; DCF'!$R$44)-'Financial Model &amp; DCF'!$R$77)))/('Financial Model &amp; DCF'!$D$135*(1+$A126)*'Financial Model &amp; DCF'!$D$136))^(1/10)-1</f>
        <v>0.0305538627154753</v>
      </c>
    </row>
    <row r="127" customFormat="false" ht="15" hidden="false" customHeight="false" outlineLevel="0" collapsed="false">
      <c r="A127" s="40" t="n">
        <v>0.1</v>
      </c>
      <c r="B127" s="58" t="n">
        <f aca="false">(((SUMPRODUCT(--(C$117:K$117))+(($B$116+-2)*('Financial Model &amp; DCF'!$R$151+'Financial Model &amp; DCF'!$R$153)-('Financial Model &amp; DCF'!$R$52-'Financial Model &amp; DCF'!$R$44)-'Financial Model &amp; DCF'!$R$77)))/('Financial Model &amp; DCF'!$D$135*(1+$A127)*'Financial Model &amp; DCF'!$D$136))^(1/10)-1</f>
        <v>0.00411892954685489</v>
      </c>
      <c r="C127" s="58" t="n">
        <f aca="false">(((SUMPRODUCT(--(C$117:K$117))+(($B$116+-1)*('Financial Model &amp; DCF'!$R$151+'Financial Model &amp; DCF'!$R$153)-('Financial Model &amp; DCF'!$R$52-'Financial Model &amp; DCF'!$R$44)-'Financial Model &amp; DCF'!$R$77)))/('Financial Model &amp; DCF'!$D$135*(1+$A127)*'Financial Model &amp; DCF'!$D$136))^(1/10)-1</f>
        <v>0.00852101302095298</v>
      </c>
      <c r="D127" s="58" t="n">
        <f aca="false">(((SUMPRODUCT(--(C$117:K$117))+(($B$116+0)*('Financial Model &amp; DCF'!$R$151+'Financial Model &amp; DCF'!$R$153)-('Financial Model &amp; DCF'!$R$52-'Financial Model &amp; DCF'!$R$44)-'Financial Model &amp; DCF'!$R$77)))/('Financial Model &amp; DCF'!$D$135*(1+$A127)*'Financial Model &amp; DCF'!$D$136))^(1/10)-1</f>
        <v>0.0127566747448133</v>
      </c>
      <c r="E127" s="58" t="n">
        <f aca="false">(((SUMPRODUCT(--(C$117:K$117))+(($B$116+1)*('Financial Model &amp; DCF'!$R$151+'Financial Model &amp; DCF'!$R$153)-('Financial Model &amp; DCF'!$R$52-'Financial Model &amp; DCF'!$R$44)-'Financial Model &amp; DCF'!$R$77)))/('Financial Model &amp; DCF'!$D$135*(1+$A127)*'Financial Model &amp; DCF'!$D$136))^(1/10)-1</f>
        <v>0.0168386634661228</v>
      </c>
      <c r="F127" s="58" t="n">
        <f aca="false">(((SUMPRODUCT(--(C$117:K$117))+(($B$116+2)*('Financial Model &amp; DCF'!$R$151+'Financial Model &amp; DCF'!$R$153)-('Financial Model &amp; DCF'!$R$52-'Financial Model &amp; DCF'!$R$44)-'Financial Model &amp; DCF'!$R$77)))/('Financial Model &amp; DCF'!$D$135*(1+$A127)*'Financial Model &amp; DCF'!$D$136))^(1/10)-1</f>
        <v>0.0207782948777291</v>
      </c>
    </row>
    <row r="128" customFormat="false" ht="15" hidden="false" customHeight="false" outlineLevel="0" collapsed="false">
      <c r="A128" s="40" t="n">
        <v>0.2</v>
      </c>
      <c r="B128" s="58" t="n">
        <f aca="false">(((SUMPRODUCT(--(C$117:K$117))+(($B$116+-2)*('Financial Model &amp; DCF'!$R$151+'Financial Model &amp; DCF'!$R$153)-('Financial Model &amp; DCF'!$R$52-'Financial Model &amp; DCF'!$R$44)-'Financial Model &amp; DCF'!$R$77)))/('Financial Model &amp; DCF'!$D$135*(1+$A128)*'Financial Model &amp; DCF'!$D$136))^(1/10)-1</f>
        <v>-0.00458014671137341</v>
      </c>
      <c r="C128" s="58" t="n">
        <f aca="false">(((SUMPRODUCT(--(C$117:K$117))+(($B$116+-1)*('Financial Model &amp; DCF'!$R$151+'Financial Model &amp; DCF'!$R$153)-('Financial Model &amp; DCF'!$R$52-'Financial Model &amp; DCF'!$R$44)-'Financial Model &amp; DCF'!$R$77)))/('Financial Model &amp; DCF'!$D$135*(1+$A128)*'Financial Model &amp; DCF'!$D$136))^(1/10)-1</f>
        <v>-0.000216200213593032</v>
      </c>
      <c r="D128" s="58" t="n">
        <f aca="false">(((SUMPRODUCT(--(C$117:K$117))+(($B$116+0)*('Financial Model &amp; DCF'!$R$151+'Financial Model &amp; DCF'!$R$153)-('Financial Model &amp; DCF'!$R$52-'Financial Model &amp; DCF'!$R$44)-'Financial Model &amp; DCF'!$R$77)))/('Financial Model &amp; DCF'!$D$135*(1+$A128)*'Financial Model &amp; DCF'!$D$136))^(1/10)-1</f>
        <v>0.00398276631086825</v>
      </c>
      <c r="E128" s="58" t="n">
        <f aca="false">(((SUMPRODUCT(--(C$117:K$117))+(($B$116+1)*('Financial Model &amp; DCF'!$R$151+'Financial Model &amp; DCF'!$R$153)-('Financial Model &amp; DCF'!$R$52-'Financial Model &amp; DCF'!$R$44)-'Financial Model &amp; DCF'!$R$77)))/('Financial Model &amp; DCF'!$D$135*(1+$A128)*'Financial Model &amp; DCF'!$D$136))^(1/10)-1</f>
        <v>0.00802939116229462</v>
      </c>
      <c r="F128" s="58" t="n">
        <f aca="false">(((SUMPRODUCT(--(C$117:K$117))+(($B$116+2)*('Financial Model &amp; DCF'!$R$151+'Financial Model &amp; DCF'!$R$153)-('Financial Model &amp; DCF'!$R$52-'Financial Model &amp; DCF'!$R$44)-'Financial Model &amp; DCF'!$R$77)))/('Financial Model &amp; DCF'!$D$135*(1+$A128)*'Financial Model &amp; DCF'!$D$136))^(1/10)-1</f>
        <v>0.0119348920012461</v>
      </c>
    </row>
    <row r="130" customFormat="false" ht="15" hidden="false" customHeight="false" outlineLevel="0" collapsed="false">
      <c r="A130" s="1" t="s">
        <v>306</v>
      </c>
    </row>
  </sheetData>
  <mergeCells count="1">
    <mergeCell ref="A1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2026-07-21T03:56:38Z</dcterms:created>
  <dc:creator>openpyxl</dc:creator>
  <dc:description/>
  <dc:language>en-US</dc:language>
  <cp:lastModifiedBy/>
  <dcterms:modified xsi:type="dcterms:W3CDTF">2026-07-21T03:56:38Z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