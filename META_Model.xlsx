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117.929</v>
      </c>
      <c r="D5" s="4" t="n">
        <v>116.609</v>
      </c>
      <c r="E5" s="4" t="n">
        <v>134.902</v>
      </c>
      <c r="F5" s="4" t="n">
        <v>164.501</v>
      </c>
      <c r="G5" s="4" t="n">
        <v>200.966</v>
      </c>
    </row>
    <row r="6">
      <c r="A6" s="3" t="inlineStr">
        <is>
          <t>cogs</t>
        </is>
      </c>
      <c r="B6" s="3" t="inlineStr">
        <is>
          <t>Cogs</t>
        </is>
      </c>
      <c r="C6" s="4" t="n">
        <v>22.649</v>
      </c>
      <c r="D6" s="4" t="n">
        <v>25.249</v>
      </c>
      <c r="E6" s="4" t="n">
        <v>25.959</v>
      </c>
      <c r="F6" s="4" t="n">
        <v>30.161</v>
      </c>
      <c r="G6" s="4" t="n">
        <v>36.175</v>
      </c>
    </row>
    <row r="7">
      <c r="A7" s="3" t="inlineStr">
        <is>
          <t>salaries_and_benefits</t>
        </is>
      </c>
      <c r="B7" s="3" t="inlineStr">
        <is>
          <t>Salaries And Benefits</t>
        </is>
      </c>
      <c r="C7" s="4" t="n">
        <v>20.6072</v>
      </c>
      <c r="D7" s="4" t="n">
        <v>30.4203</v>
      </c>
      <c r="E7" s="4" t="n">
        <v>31.5663</v>
      </c>
      <c r="F7" s="4" t="n">
        <v>33.4059</v>
      </c>
      <c r="G7" s="4" t="n">
        <v>44.2697</v>
      </c>
    </row>
    <row r="8">
      <c r="A8" s="3" t="inlineStr">
        <is>
          <t>rent_and_overhead</t>
        </is>
      </c>
      <c r="B8" s="3" t="inlineStr">
        <is>
          <t>Rent And Overhead</t>
        </is>
      </c>
      <c r="C8" s="4" t="n">
        <v>19.9528</v>
      </c>
      <c r="D8" s="4" t="n">
        <v>23.3097</v>
      </c>
      <c r="E8" s="4" t="n">
        <v>19.4477</v>
      </c>
      <c r="F8" s="4" t="n">
        <v>16.0561</v>
      </c>
      <c r="G8" s="4" t="n">
        <v>18.6293</v>
      </c>
    </row>
    <row r="9">
      <c r="A9" s="3" t="inlineStr">
        <is>
          <t>d_and_a</t>
        </is>
      </c>
      <c r="B9" s="3" t="inlineStr">
        <is>
          <t>D And A</t>
        </is>
      </c>
      <c r="C9" s="4" t="n">
        <v>7.967</v>
      </c>
      <c r="D9" s="4" t="n">
        <v>8.686</v>
      </c>
      <c r="E9" s="4" t="n">
        <v>11.178</v>
      </c>
      <c r="F9" s="4" t="n">
        <v>15.498</v>
      </c>
      <c r="G9" s="4" t="n">
        <v>18.616</v>
      </c>
    </row>
    <row r="10">
      <c r="A10" s="3" t="inlineStr">
        <is>
          <t>interest</t>
        </is>
      </c>
      <c r="B10" s="3" t="inlineStr">
        <is>
          <t>Interest</t>
        </is>
      </c>
      <c r="C10" s="4" t="n">
        <v>0.023</v>
      </c>
      <c r="D10" s="4" t="n">
        <v>0.185</v>
      </c>
      <c r="E10" s="4" t="n">
        <v>0.446</v>
      </c>
      <c r="F10" s="4" t="n">
        <v>0.715</v>
      </c>
      <c r="G10" s="4" t="n">
        <v>1.165</v>
      </c>
    </row>
    <row r="11">
      <c r="A11" s="3" t="inlineStr">
        <is>
          <t>taxes</t>
        </is>
      </c>
      <c r="B11" s="3" t="inlineStr">
        <is>
          <t>Taxes</t>
        </is>
      </c>
      <c r="C11" s="4" t="n">
        <v>7.914</v>
      </c>
      <c r="D11" s="4" t="n">
        <v>5.619</v>
      </c>
      <c r="E11" s="4" t="n">
        <v>8.33</v>
      </c>
      <c r="F11" s="4" t="n">
        <v>8.303000000000001</v>
      </c>
      <c r="G11" s="4" t="n">
        <v>25.474</v>
      </c>
    </row>
    <row r="12">
      <c r="A12" s="1" t="inlineStr">
        <is>
          <t>-- balance_sheet --</t>
        </is>
      </c>
    </row>
    <row r="13">
      <c r="A13" s="3" t="inlineStr">
        <is>
          <t>cash</t>
        </is>
      </c>
      <c r="B13" s="3" t="inlineStr">
        <is>
          <t>Cash</t>
        </is>
      </c>
      <c r="C13" s="4" t="n">
        <v>54.773</v>
      </c>
      <c r="D13" s="4" t="n">
        <v>46.939</v>
      </c>
      <c r="E13" s="4" t="n">
        <v>71.544</v>
      </c>
      <c r="F13" s="4" t="n">
        <v>83.88500000000001</v>
      </c>
      <c r="G13" s="4" t="n">
        <v>109.116</v>
      </c>
    </row>
    <row r="14">
      <c r="A14" s="3" t="inlineStr">
        <is>
          <t>accounts_receivable</t>
        </is>
      </c>
      <c r="B14" s="3" t="inlineStr">
        <is>
          <t>Accounts Receivable</t>
        </is>
      </c>
      <c r="C14" s="4" t="n">
        <v>14.039</v>
      </c>
      <c r="D14" s="4" t="n">
        <v>13.466</v>
      </c>
      <c r="E14" s="4" t="n">
        <v>16.169</v>
      </c>
      <c r="F14" s="4" t="n">
        <v>16.994</v>
      </c>
      <c r="G14" s="4" t="n">
        <v>19.769</v>
      </c>
    </row>
    <row r="15">
      <c r="A15" s="3" t="inlineStr">
        <is>
          <t>inventory</t>
        </is>
      </c>
      <c r="B15" s="3" t="inlineStr">
        <is>
          <t>Inventory</t>
        </is>
      </c>
      <c r="C15" s="4" t="n">
        <v>0</v>
      </c>
      <c r="D15" s="4" t="n">
        <v>0</v>
      </c>
      <c r="E15" s="4" t="n">
        <v>0</v>
      </c>
      <c r="F15" s="4" t="n">
        <v>0</v>
      </c>
      <c r="G15" s="4" t="n">
        <v>0</v>
      </c>
    </row>
    <row r="16">
      <c r="A16" s="3" t="inlineStr">
        <is>
          <t>ppe</t>
        </is>
      </c>
      <c r="B16" s="3" t="inlineStr">
        <is>
          <t>Ppe</t>
        </is>
      </c>
      <c r="C16" s="4" t="n">
        <v>97.175</v>
      </c>
      <c r="D16" s="4" t="n">
        <v>125.322</v>
      </c>
      <c r="E16" s="4" t="n">
        <v>141.91</v>
      </c>
      <c r="F16" s="4" t="n">
        <v>175.175</v>
      </c>
      <c r="G16" s="4" t="n">
        <v>237.136</v>
      </c>
    </row>
    <row r="17">
      <c r="A17" s="3" t="inlineStr">
        <is>
          <t>accounts_payable</t>
        </is>
      </c>
      <c r="B17" s="3" t="inlineStr">
        <is>
          <t>Accounts Payable</t>
        </is>
      </c>
      <c r="C17" s="4" t="n">
        <v>27.235</v>
      </c>
      <c r="D17" s="4" t="n">
        <v>33.423</v>
      </c>
      <c r="E17" s="4" t="n">
        <v>39.221</v>
      </c>
      <c r="F17" s="4" t="n">
        <v>44.357</v>
      </c>
      <c r="G17" s="4" t="n">
        <v>64.881</v>
      </c>
    </row>
    <row r="18">
      <c r="A18" s="3" t="inlineStr">
        <is>
          <t>debt</t>
        </is>
      </c>
      <c r="B18" s="3" t="inlineStr">
        <is>
          <t>Debt</t>
        </is>
      </c>
      <c r="C18" s="4" t="n">
        <v>13.873</v>
      </c>
      <c r="D18" s="4" t="n">
        <v>26.591</v>
      </c>
      <c r="E18" s="4" t="n">
        <v>37.234</v>
      </c>
      <c r="F18" s="4" t="n">
        <v>49.06</v>
      </c>
      <c r="G18" s="4" t="n">
        <v>83.89700000000001</v>
      </c>
    </row>
    <row r="19">
      <c r="A19" s="3" t="inlineStr">
        <is>
          <t>equity_capital</t>
        </is>
      </c>
      <c r="B19" s="3" t="inlineStr">
        <is>
          <t>Equity Capital</t>
        </is>
      </c>
      <c r="C19" s="4" t="n">
        <v>55.118</v>
      </c>
      <c r="D19" s="4" t="n">
        <v>60.914</v>
      </c>
      <c r="E19" s="4" t="n">
        <v>71.098</v>
      </c>
      <c r="F19" s="4" t="n">
        <v>80.131</v>
      </c>
      <c r="G19" s="4" t="n">
        <v>96.06399999999999</v>
      </c>
    </row>
    <row r="20">
      <c r="A20" s="3" t="inlineStr">
        <is>
          <t>retained_earnings</t>
        </is>
      </c>
      <c r="B20" s="3" t="inlineStr">
        <is>
          <t>Retained Earnings</t>
        </is>
      </c>
      <c r="C20" s="4" t="n">
        <v>69.761</v>
      </c>
      <c r="D20" s="4" t="n">
        <v>64.79900000000001</v>
      </c>
      <c r="E20" s="4" t="n">
        <v>82.06999999999999</v>
      </c>
      <c r="F20" s="4" t="n">
        <v>102.506</v>
      </c>
      <c r="G20" s="4" t="n">
        <v>121.179</v>
      </c>
    </row>
    <row r="21">
      <c r="A21" s="1" t="inlineStr">
        <is>
          <t>-- schedules --</t>
        </is>
      </c>
    </row>
    <row r="22">
      <c r="A22" s="3" t="inlineStr">
        <is>
          <t>capex</t>
        </is>
      </c>
      <c r="B22" s="3" t="inlineStr">
        <is>
          <t>Capex</t>
        </is>
      </c>
      <c r="C22" s="4" t="n">
        <v>18.567</v>
      </c>
      <c r="D22" s="4" t="n">
        <v>31.431</v>
      </c>
      <c r="E22" s="4" t="n">
        <v>27.266</v>
      </c>
      <c r="F22" s="4" t="n">
        <v>37.256</v>
      </c>
      <c r="G22" s="4" t="n">
        <v>69.691</v>
      </c>
    </row>
    <row r="23">
      <c r="A23" s="3" t="inlineStr">
        <is>
          <t>debt_issuance</t>
        </is>
      </c>
      <c r="B23" s="3" t="inlineStr">
        <is>
          <t>Debt Issuance</t>
        </is>
      </c>
      <c r="C23" s="4" t="n">
        <v>-0.663</v>
      </c>
      <c r="D23" s="4" t="n">
        <v>9.071</v>
      </c>
      <c r="E23" s="4" t="n">
        <v>7.397</v>
      </c>
      <c r="F23" s="4" t="n">
        <v>8.462999999999999</v>
      </c>
      <c r="G23" s="4" t="n">
        <v>27.382</v>
      </c>
    </row>
    <row r="24">
      <c r="A24" s="3" t="inlineStr">
        <is>
          <t>equity_issued</t>
        </is>
      </c>
      <c r="B24" s="3" t="inlineStr">
        <is>
          <t>Equity Issued</t>
        </is>
      </c>
      <c r="C24" s="4" t="n">
        <v>-44.537</v>
      </c>
      <c r="D24" s="4" t="n">
        <v>-31.551</v>
      </c>
      <c r="E24" s="4" t="n">
        <v>-26.786</v>
      </c>
      <c r="F24" s="4" t="n">
        <v>-30.125</v>
      </c>
      <c r="G24" s="4" t="n">
        <v>-26.248</v>
      </c>
    </row>
    <row r="25">
      <c r="A25" s="1" t="inlineStr">
        <is>
          <t>-- opening_balances --</t>
        </is>
      </c>
    </row>
    <row r="26">
      <c r="A26" s="3" t="inlineStr">
        <is>
          <t>ppe_opening_first</t>
        </is>
      </c>
      <c r="B26" s="3" t="inlineStr">
        <is>
          <t>Ppe Opening First</t>
        </is>
      </c>
      <c r="C26" s="4" t="n">
        <v>86.575</v>
      </c>
    </row>
    <row r="27">
      <c r="A27" s="3" t="inlineStr">
        <is>
          <t>debt_opening_first</t>
        </is>
      </c>
      <c r="B27" s="3" t="inlineStr">
        <is>
          <t>Debt Opening First</t>
        </is>
      </c>
      <c r="C27" s="4" t="n">
        <v>14.536</v>
      </c>
    </row>
    <row r="28">
      <c r="A28" s="3" t="inlineStr">
        <is>
          <t>nol_opening</t>
        </is>
      </c>
      <c r="B28" s="3" t="inlineStr">
        <is>
          <t>Nol Opening</t>
        </is>
      </c>
      <c r="C28" s="4" t="n">
        <v>0</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Meta Platforms, Inc. (NASDAQ: META)</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growth 14%-&gt;4.5%, opex leverage 31.7%-&gt;28%, AI capex $75-80B-&gt;65B, WACC 9.9%-&gt;8.7%, terminal g=rf, exit 13x. Returns $32B/yr. FY25 tax 29.6% distorted by deferred one-offs; modeled 20%. Consensus $828. Year-1 D&amp;A +21% vs FY2025 is deliberate: management guides accelerating depreciation as the AI-datacenter buildout enters service.</t>
        </is>
      </c>
    </row>
    <row r="5">
      <c r="A5" s="13" t="inlineStr">
        <is>
          <t>Assumptions</t>
        </is>
      </c>
      <c r="B5" s="14" t="n"/>
      <c r="C5" s="14" t="n"/>
      <c r="D5" s="14" t="n"/>
      <c r="E5" s="15" t="inlineStr">
        <is>
          <t>Corporate actions: none found - searched 2026-07-16; buybacks modeled as capital returns. NEWS SCAN 2026-07-19: stock +21% month-to-date on AI infrastructure narrative; Iris in-house AI chip to production Sept-2026, plan to double compute to 14GW; management pivoting to SELL excess compute externally (revenue line NOT in this deck - upside). Forward P/E lags Mag-7 peers. No dilutive actions.</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0.14</v>
      </c>
      <c r="J8" s="19" t="n">
        <v>0.13</v>
      </c>
      <c r="K8" s="19" t="n">
        <v>0.12</v>
      </c>
      <c r="L8" s="19" t="n">
        <v>0.11</v>
      </c>
      <c r="M8" s="19" t="n">
        <v>0.1</v>
      </c>
      <c r="N8" s="19" t="n">
        <v>0.09</v>
      </c>
      <c r="O8" s="19" t="n">
        <v>0.08</v>
      </c>
      <c r="P8" s="19" t="n">
        <v>0.07000000000000001</v>
      </c>
      <c r="Q8" s="19" t="n">
        <v>0.06</v>
      </c>
      <c r="R8" s="19" t="n">
        <v>0.045</v>
      </c>
    </row>
    <row r="9">
      <c r="A9" s="3" t="inlineStr">
        <is>
          <t>Cost of Goods Sold (% of Revenue)</t>
        </is>
      </c>
      <c r="D9" s="18">
        <f>D27/D26</f>
        <v/>
      </c>
      <c r="E9" s="18">
        <f>E27/E26</f>
        <v/>
      </c>
      <c r="F9" s="18">
        <f>F27/F26</f>
        <v/>
      </c>
      <c r="G9" s="18">
        <f>G27/G26</f>
        <v/>
      </c>
      <c r="H9" s="18">
        <f>H27/H26</f>
        <v/>
      </c>
      <c r="I9" s="19" t="n">
        <v>0.18</v>
      </c>
      <c r="J9" s="19" t="n">
        <v>0.18</v>
      </c>
      <c r="K9" s="19" t="n">
        <v>0.18</v>
      </c>
      <c r="L9" s="19" t="n">
        <v>0.18</v>
      </c>
      <c r="M9" s="19" t="n">
        <v>0.18</v>
      </c>
      <c r="N9" s="19" t="n">
        <v>0.18</v>
      </c>
      <c r="O9" s="19" t="n">
        <v>0.18</v>
      </c>
      <c r="P9" s="19" t="n">
        <v>0.18</v>
      </c>
      <c r="Q9" s="19" t="n">
        <v>0.18</v>
      </c>
      <c r="R9" s="19" t="n">
        <v>0.18</v>
      </c>
    </row>
    <row r="10">
      <c r="A10" s="3" t="inlineStr">
        <is>
          <t>Research &amp; Development (% of Revenue)</t>
        </is>
      </c>
      <c r="D10" s="18">
        <f>D30/D26</f>
        <v/>
      </c>
      <c r="E10" s="18">
        <f>E30/E26</f>
        <v/>
      </c>
      <c r="F10" s="18">
        <f>F30/F26</f>
        <v/>
      </c>
      <c r="G10" s="18">
        <f>G30/G26</f>
        <v/>
      </c>
      <c r="H10" s="18">
        <f>H30/H26</f>
        <v/>
      </c>
      <c r="I10" s="19" t="n">
        <v>0.2231</v>
      </c>
      <c r="J10" s="19" t="n">
        <v>0.2196</v>
      </c>
      <c r="K10" s="19" t="n">
        <v>0.2161</v>
      </c>
      <c r="L10" s="19" t="n">
        <v>0.2126</v>
      </c>
      <c r="M10" s="19" t="n">
        <v>0.209</v>
      </c>
      <c r="N10" s="19" t="n">
        <v>0.2055</v>
      </c>
      <c r="O10" s="19" t="n">
        <v>0.2027</v>
      </c>
      <c r="P10" s="19" t="n">
        <v>0.1999</v>
      </c>
      <c r="Q10" s="19" t="n">
        <v>0.1978</v>
      </c>
      <c r="R10" s="19" t="n">
        <v>0.1971</v>
      </c>
    </row>
    <row r="11">
      <c r="A11" s="3" t="inlineStr">
        <is>
          <t>Marketing &amp; Sales + General &amp; Administrative (USD billions)</t>
        </is>
      </c>
      <c r="D11" s="20">
        <f>D31</f>
        <v/>
      </c>
      <c r="E11" s="20">
        <f>E31</f>
        <v/>
      </c>
      <c r="F11" s="20">
        <f>F31</f>
        <v/>
      </c>
      <c r="G11" s="20">
        <f>G31</f>
        <v/>
      </c>
      <c r="H11" s="20">
        <f>H31</f>
        <v/>
      </c>
      <c r="I11" s="4" t="n">
        <v>21.51</v>
      </c>
      <c r="J11" s="4" t="n">
        <v>23.92</v>
      </c>
      <c r="K11" s="4" t="n">
        <v>26.36</v>
      </c>
      <c r="L11" s="4" t="n">
        <v>28.79</v>
      </c>
      <c r="M11" s="4" t="n">
        <v>31.14</v>
      </c>
      <c r="N11" s="4" t="n">
        <v>33.37</v>
      </c>
      <c r="O11" s="4" t="n">
        <v>35.55</v>
      </c>
      <c r="P11" s="4" t="n">
        <v>37.5</v>
      </c>
      <c r="Q11" s="4" t="n">
        <v>39.34</v>
      </c>
      <c r="R11" s="4" t="n">
        <v>40.96</v>
      </c>
    </row>
    <row r="12">
      <c r="A12" s="3" t="inlineStr">
        <is>
          <t>Depreciation &amp; Amortization (% of PP&amp;E)</t>
        </is>
      </c>
      <c r="D12" s="18">
        <f>D32/D96</f>
        <v/>
      </c>
      <c r="E12" s="18">
        <f>E32/E96</f>
        <v/>
      </c>
      <c r="F12" s="18">
        <f>F32/F96</f>
        <v/>
      </c>
      <c r="G12" s="18">
        <f>G32/G96</f>
        <v/>
      </c>
      <c r="H12" s="18">
        <f>H32/H96</f>
        <v/>
      </c>
      <c r="I12" s="19" t="n">
        <v>0.095</v>
      </c>
      <c r="J12" s="19" t="n">
        <v>0.095</v>
      </c>
      <c r="K12" s="19" t="n">
        <v>0.095</v>
      </c>
      <c r="L12" s="19" t="n">
        <v>0.095</v>
      </c>
      <c r="M12" s="19" t="n">
        <v>0.095</v>
      </c>
      <c r="N12" s="19" t="n">
        <v>0.095</v>
      </c>
      <c r="O12" s="19" t="n">
        <v>0.095</v>
      </c>
      <c r="P12" s="19" t="n">
        <v>0.095</v>
      </c>
      <c r="Q12" s="19" t="n">
        <v>0.095</v>
      </c>
      <c r="R12" s="19" t="n">
        <v>0.095</v>
      </c>
    </row>
    <row r="13">
      <c r="A13" s="3" t="inlineStr">
        <is>
          <t>Interest (% of Debt)</t>
        </is>
      </c>
      <c r="D13" s="18">
        <f>D33/AVERAGE(D102,D104)</f>
        <v/>
      </c>
      <c r="E13" s="18">
        <f>E33/AVERAGE(E102,E104)</f>
        <v/>
      </c>
      <c r="F13" s="18">
        <f>F33/AVERAGE(F102,F104)</f>
        <v/>
      </c>
      <c r="G13" s="18">
        <f>G33/AVERAGE(G102,G104)</f>
        <v/>
      </c>
      <c r="H13" s="18">
        <f>H33/AVERAGE(H102,H104)</f>
        <v/>
      </c>
      <c r="I13" s="19" t="n">
        <v>0.035</v>
      </c>
      <c r="J13" s="19" t="n">
        <v>0.035</v>
      </c>
      <c r="K13" s="19" t="n">
        <v>0.035</v>
      </c>
      <c r="L13" s="19" t="n">
        <v>0.035</v>
      </c>
      <c r="M13" s="19" t="n">
        <v>0.035</v>
      </c>
      <c r="N13" s="19" t="n">
        <v>0.035</v>
      </c>
      <c r="O13" s="19" t="n">
        <v>0.035</v>
      </c>
      <c r="P13" s="19" t="n">
        <v>0.035</v>
      </c>
      <c r="Q13" s="19" t="n">
        <v>0.035</v>
      </c>
      <c r="R13" s="19" t="n">
        <v>0.035</v>
      </c>
    </row>
    <row r="14">
      <c r="A14" s="3" t="inlineStr">
        <is>
          <t>Tax Rate (% of Earnings Before Tax)</t>
        </is>
      </c>
      <c r="D14" s="18">
        <f>IF(D35=0,0,D37/D35)</f>
        <v/>
      </c>
      <c r="E14" s="18">
        <f>IF(E35=0,0,E37/E35)</f>
        <v/>
      </c>
      <c r="F14" s="18">
        <f>IF(F35=0,0,F37/F35)</f>
        <v/>
      </c>
      <c r="G14" s="18">
        <f>IF(G35=0,0,G37/G35)</f>
        <v/>
      </c>
      <c r="H14" s="18">
        <f>IF(H35=0,0,H37/H35)</f>
        <v/>
      </c>
      <c r="I14" s="19" t="n">
        <v>0.2</v>
      </c>
      <c r="J14" s="19" t="n">
        <v>0.2</v>
      </c>
      <c r="K14" s="19" t="n">
        <v>0.2</v>
      </c>
      <c r="L14" s="19" t="n">
        <v>0.2</v>
      </c>
      <c r="M14" s="19" t="n">
        <v>0.2</v>
      </c>
      <c r="N14" s="19" t="n">
        <v>0.2</v>
      </c>
      <c r="O14" s="19" t="n">
        <v>0.2</v>
      </c>
      <c r="P14" s="19" t="n">
        <v>0.2</v>
      </c>
      <c r="Q14" s="19" t="n">
        <v>0.2</v>
      </c>
      <c r="R14" s="19" t="n">
        <v>0.2</v>
      </c>
    </row>
    <row r="15">
      <c r="A15" s="3" t="inlineStr">
        <is>
          <t>Accounts Receivable (Days)</t>
        </is>
      </c>
      <c r="D15" s="21">
        <f>D45/D26*D21</f>
        <v/>
      </c>
      <c r="E15" s="21">
        <f>E45/E26*E21</f>
        <v/>
      </c>
      <c r="F15" s="21">
        <f>F45/F26*F21</f>
        <v/>
      </c>
      <c r="G15" s="21">
        <f>G45/G26*G21</f>
        <v/>
      </c>
      <c r="H15" s="21">
        <f>H45/H26*H21</f>
        <v/>
      </c>
      <c r="I15" s="22" t="n">
        <v>36</v>
      </c>
      <c r="J15" s="22" t="n">
        <v>36</v>
      </c>
      <c r="K15" s="22" t="n">
        <v>36</v>
      </c>
      <c r="L15" s="22" t="n">
        <v>36</v>
      </c>
      <c r="M15" s="22" t="n">
        <v>36</v>
      </c>
      <c r="N15" s="22" t="n">
        <v>36</v>
      </c>
      <c r="O15" s="22" t="n">
        <v>36</v>
      </c>
      <c r="P15" s="22" t="n">
        <v>36</v>
      </c>
      <c r="Q15" s="22" t="n">
        <v>36</v>
      </c>
      <c r="R15" s="22" t="n">
        <v>36</v>
      </c>
    </row>
    <row r="16">
      <c r="A16" s="3" t="inlineStr">
        <is>
          <t>Inventory (Days)</t>
        </is>
      </c>
      <c r="D16" s="21">
        <f>D46/D27*D21</f>
        <v/>
      </c>
      <c r="E16" s="21">
        <f>E46/E27*E21</f>
        <v/>
      </c>
      <c r="F16" s="21">
        <f>F46/F27*F21</f>
        <v/>
      </c>
      <c r="G16" s="21">
        <f>G46/G27*G21</f>
        <v/>
      </c>
      <c r="H16" s="21">
        <f>H46/H27*H21</f>
        <v/>
      </c>
      <c r="I16" s="22" t="n">
        <v>0</v>
      </c>
      <c r="J16" s="22" t="n">
        <v>0</v>
      </c>
      <c r="K16" s="22" t="n">
        <v>0</v>
      </c>
      <c r="L16" s="22" t="n">
        <v>0</v>
      </c>
      <c r="M16" s="22" t="n">
        <v>0</v>
      </c>
      <c r="N16" s="22" t="n">
        <v>0</v>
      </c>
      <c r="O16" s="22" t="n">
        <v>0</v>
      </c>
      <c r="P16" s="22" t="n">
        <v>0</v>
      </c>
      <c r="Q16" s="22" t="n">
        <v>0</v>
      </c>
      <c r="R16" s="22" t="n">
        <v>0</v>
      </c>
    </row>
    <row r="17">
      <c r="A17" s="3" t="inlineStr">
        <is>
          <t>Accounts Payable (Days)</t>
        </is>
      </c>
      <c r="D17" s="21">
        <f>D51/D27*D21</f>
        <v/>
      </c>
      <c r="E17" s="21">
        <f>E51/E27*E21</f>
        <v/>
      </c>
      <c r="F17" s="21">
        <f>F51/F27*F21</f>
        <v/>
      </c>
      <c r="G17" s="21">
        <f>G51/G27*G21</f>
        <v/>
      </c>
      <c r="H17" s="21">
        <f>H51/H27*H21</f>
        <v/>
      </c>
      <c r="I17" s="22" t="n">
        <v>654</v>
      </c>
      <c r="J17" s="22" t="n">
        <v>654</v>
      </c>
      <c r="K17" s="22" t="n">
        <v>654</v>
      </c>
      <c r="L17" s="22" t="n">
        <v>654</v>
      </c>
      <c r="M17" s="22" t="n">
        <v>654</v>
      </c>
      <c r="N17" s="22" t="n">
        <v>654</v>
      </c>
      <c r="O17" s="22" t="n">
        <v>654</v>
      </c>
      <c r="P17" s="22" t="n">
        <v>654</v>
      </c>
      <c r="Q17" s="22" t="n">
        <v>654</v>
      </c>
      <c r="R17" s="22" t="n">
        <v>654</v>
      </c>
    </row>
    <row r="18">
      <c r="A18" s="3" t="inlineStr">
        <is>
          <t>Capital Expenditures (USD billions)</t>
        </is>
      </c>
      <c r="D18" s="20">
        <f>D97</f>
        <v/>
      </c>
      <c r="E18" s="20">
        <f>E97</f>
        <v/>
      </c>
      <c r="F18" s="20">
        <f>F97</f>
        <v/>
      </c>
      <c r="G18" s="20">
        <f>G97</f>
        <v/>
      </c>
      <c r="H18" s="20">
        <f>H97</f>
        <v/>
      </c>
      <c r="I18" s="4" t="n">
        <v>75</v>
      </c>
      <c r="J18" s="4" t="n">
        <v>80</v>
      </c>
      <c r="K18" s="4" t="n">
        <v>80</v>
      </c>
      <c r="L18" s="4" t="n">
        <v>78</v>
      </c>
      <c r="M18" s="4" t="n">
        <v>75</v>
      </c>
      <c r="N18" s="4" t="n">
        <v>72</v>
      </c>
      <c r="O18" s="4" t="n">
        <v>70</v>
      </c>
      <c r="P18" s="4" t="n">
        <v>68</v>
      </c>
      <c r="Q18" s="4" t="n">
        <v>66</v>
      </c>
      <c r="R18" s="4" t="n">
        <v>65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-32</v>
      </c>
      <c r="J20" s="4" t="n">
        <v>-32</v>
      </c>
      <c r="K20" s="4" t="n">
        <v>-32</v>
      </c>
      <c r="L20" s="4" t="n">
        <v>-32</v>
      </c>
      <c r="M20" s="4" t="n">
        <v>-32</v>
      </c>
      <c r="N20" s="4" t="n">
        <v>-32</v>
      </c>
      <c r="O20" s="4" t="n">
        <v>-32</v>
      </c>
      <c r="P20" s="4" t="n">
        <v>-32</v>
      </c>
      <c r="Q20" s="4" t="n">
        <v>-32</v>
      </c>
      <c r="R20" s="4" t="n">
        <v>-32</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Research &amp; Development</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Marketing &amp; Sales +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646.01</v>
      </c>
    </row>
    <row r="136">
      <c r="A136" s="3" t="inlineStr">
        <is>
          <t>Shares Outstanding</t>
        </is>
      </c>
      <c r="D136" s="4" t="n">
        <v>2.538</v>
      </c>
    </row>
    <row r="137">
      <c r="A137" s="3" t="inlineStr">
        <is>
          <t>Market Capitalization</t>
        </is>
      </c>
      <c r="D137" s="20">
        <f>D135*D136</f>
        <v/>
      </c>
    </row>
    <row r="138">
      <c r="A138" s="3" t="inlineStr">
        <is>
          <t>Perpetual Growth Rate</t>
        </is>
      </c>
      <c r="D138" s="29" t="n">
        <v>0.0432</v>
      </c>
    </row>
    <row r="139">
      <c r="A139" s="3" t="inlineStr">
        <is>
          <t>Exit EV/EBITDA Multiple</t>
        </is>
      </c>
      <c r="D139" s="30" t="n">
        <v>13</v>
      </c>
    </row>
    <row r="140">
      <c r="A140" s="3" t="inlineStr">
        <is>
          <t>Actual Market Cap (today)</t>
        </is>
      </c>
      <c r="D140" s="4" t="n">
        <v>1639.57</v>
      </c>
    </row>
    <row r="141">
      <c r="A141" s="3" t="inlineStr">
        <is>
          <t>Actual Shares Outstanding</t>
        </is>
      </c>
      <c r="D141" s="4" t="n">
        <v>2.538</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46387</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0.09229999999999999</v>
      </c>
      <c r="J149" s="29" t="n">
        <v>0.0915</v>
      </c>
      <c r="K149" s="29" t="n">
        <v>0.09080000000000001</v>
      </c>
      <c r="L149" s="29" t="n">
        <v>0.09</v>
      </c>
      <c r="M149" s="29" t="n">
        <v>0.0892</v>
      </c>
      <c r="N149" s="29" t="n">
        <v>0.08840000000000001</v>
      </c>
      <c r="O149" s="29" t="n">
        <v>0.0877</v>
      </c>
      <c r="P149" s="29" t="n">
        <v>0.08690000000000001</v>
      </c>
      <c r="Q149" s="29" t="n">
        <v>0.0861</v>
      </c>
      <c r="R149" s="29" t="n">
        <v>0.0853</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revenue +14.4% BELOW reported (Q2-26, 29-Jul); EBIT PASSED at -1.5%. Grade FLAG on the REVENUE axis only. The AI opex ramp consumed the entire revenue beat, so the margin assumption here was CORRECT - rebuild the top line only, do not lift margins. Value SUSPENDED.</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 t="inlineStr">
        <is>
          <t xml:space="preserve">  none - every historical figure above was read from the source statements.</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Iris in-house AI chip enters production Sept-2026</t>
        </is>
      </c>
      <c r="F202" s="19" t="n">
        <v>0.7</v>
      </c>
      <c r="G202" s="1" t="inlineStr">
        <is>
          <t>Cuts compute cost/unit; the margin lever</t>
        </is>
      </c>
    </row>
    <row r="203">
      <c r="A203" s="3" t="inlineStr">
        <is>
          <t>Compute capacity doubles to 14GW on plan</t>
        </is>
      </c>
      <c r="F203" s="19" t="n">
        <v>0.6</v>
      </c>
      <c r="G203" s="1" t="inlineStr">
        <is>
          <t>Capacity is the revenue ceiling for resale</t>
        </is>
      </c>
    </row>
    <row r="204">
      <c r="A204" s="3" t="inlineStr">
        <is>
          <t>Selling excess compute to external customers scales</t>
        </is>
      </c>
      <c r="F204" s="19" t="n">
        <v>0.45</v>
      </c>
      <c r="G204" s="1" t="inlineStr">
        <is>
          <t>NEW revenue line the deck does not model - pure upside</t>
        </is>
      </c>
    </row>
    <row r="205">
      <c r="A205" s="3" t="inlineStr">
        <is>
          <t>AI capex earns its return (sales-to-capital holds)</t>
        </is>
      </c>
      <c r="F205" s="19" t="n">
        <v>0.5</v>
      </c>
      <c r="G205" s="1" t="inlineStr">
        <is>
          <t>THE swing node - the deck's biggest conditional</t>
        </is>
      </c>
    </row>
    <row r="206">
      <c r="A206" s="3" t="inlineStr">
        <is>
          <t>Ad revenue growth holds double digits</t>
        </is>
      </c>
      <c r="F206" s="19" t="n">
        <v>0.75</v>
      </c>
      <c r="G206" s="1" t="inlineStr">
        <is>
          <t>The cash engine funding everything else</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1.246]</t>
        </is>
      </c>
      <c r="D251" s="4" t="n">
        <v>1.165</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0.04919999999999999</v>
      </c>
      <c r="F254" s="1" t="inlineStr">
        <is>
          <t>marginal: rf-equivalent + credit spread; after-tax at the MARGINAL rate 25% (not the effective rate)</t>
        </is>
      </c>
    </row>
    <row r="255">
      <c r="A255" s="3" t="inlineStr">
        <is>
          <t>Cost of debt - after tax  = pre-tax x (1 - tax rate)</t>
        </is>
      </c>
      <c r="D255" s="42" t="n">
        <v>0.0369</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0.0487</v>
      </c>
      <c r="F262" s="1" t="inlineStr">
        <is>
          <t>market values: gross debt 83.9 / (debt + mcap 1,639.6)</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14.0% to 4.5% with no year decelerating materially more than any other (largest step only 1.4x the average). Nothing HAPPENS anywhere in this forecast. A st</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44" t="inlineStr">
        <is>
          <t>! NWC PERPETUAL SOURCE: working capital releases cash every single year (&gt;1% of revenue cumulative)</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6">
      <c r="A276" s="1" t="inlineStr">
        <is>
          <t>Response: Deferred revenue + payables float scale with the AI-hardware buildout; direction structural, magnitude on the broad folded payables line - directional.</t>
        </is>
      </c>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2026-08-06T21:08:27Z</dcterms:created>
  <dcterms:modified xmlns:dcterms="http://purl.org/dc/terms/" xmlns:xsi="http://www.w3.org/2001/XMLSchema-instance" xsi:type="dcterms:W3CDTF">2026-08-06T21:08:27Z</dcterms:modified>
</cp:coreProperties>
</file>