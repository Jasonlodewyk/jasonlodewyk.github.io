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Input" sheetId="1" state="visible" r:id="rId1"/>
    <sheet xmlns:r="http://schemas.openxmlformats.org/officeDocument/2006/relationships" name="Financial Model &amp; DCF" sheetId="2" state="visible" r:id="rId2"/>
  </sheets>
  <definedNames/>
  <calcPr calcId="124519" fullCalcOnLoad="1"/>
</workbook>
</file>

<file path=xl/styles.xml><?xml version="1.0" encoding="utf-8"?>
<styleSheet xmlns="http://schemas.openxmlformats.org/spreadsheetml/2006/main">
  <numFmts count="7">
    <numFmt numFmtId="164" formatCode="#,##0.00;(#,##0.00)"/>
    <numFmt numFmtId="165" formatCode="0.0%"/>
    <numFmt numFmtId="166" formatCode="0.0000"/>
    <numFmt numFmtId="167" formatCode="yyyy-mm-dd"/>
    <numFmt numFmtId="168" formatCode="dd/mm/yy"/>
    <numFmt numFmtId="169" formatCode="0.0x"/>
    <numFmt numFmtId="170" formatCode="0.000"/>
  </numFmts>
  <fonts count="13">
    <font>
      <name val="Calibri"/>
      <family val="2"/>
      <color theme="1"/>
      <sz val="11"/>
      <scheme val="minor"/>
    </font>
    <font>
      <name val="Arial"/>
      <i val="1"/>
      <color rgb="00595959"/>
      <sz val="10"/>
    </font>
    <font>
      <name val="Arial"/>
      <b val="1"/>
      <sz val="11"/>
    </font>
    <font>
      <name val="Arial"/>
      <sz val="11"/>
    </font>
    <font>
      <name val="Arial"/>
      <color rgb="000000CC"/>
      <sz val="11"/>
    </font>
    <font>
      <name val="Arial"/>
      <b val="1"/>
      <color rgb="00FFFFFF"/>
      <sz val="13"/>
    </font>
    <font>
      <name val="Arial"/>
      <b val="1"/>
      <color rgb="00FFFFFF"/>
      <sz val="12"/>
    </font>
    <font>
      <name val="Arial"/>
      <i val="1"/>
      <sz val="11"/>
    </font>
    <font>
      <name val="Arial"/>
      <i val="1"/>
      <color rgb="00008000"/>
      <sz val="10"/>
    </font>
    <font>
      <name val="Arial"/>
      <b val="1"/>
      <i val="1"/>
      <color rgb="00595959"/>
      <sz val="10"/>
    </font>
    <font>
      <name val="Arial"/>
      <i val="1"/>
      <color rgb="00C00000"/>
      <sz val="10"/>
    </font>
    <font>
      <name val="Arial"/>
      <b val="1"/>
      <color rgb="00C00000"/>
      <sz val="10"/>
    </font>
    <font>
      <name val="Arial"/>
      <b val="1"/>
      <color rgb="002E5B9F"/>
      <sz val="13"/>
    </font>
  </fonts>
  <fills count="4">
    <fill>
      <patternFill/>
    </fill>
    <fill>
      <patternFill patternType="gray125"/>
    </fill>
    <fill>
      <patternFill patternType="solid">
        <fgColor rgb="001F3864"/>
      </patternFill>
    </fill>
    <fill>
      <patternFill patternType="solid">
        <fgColor rgb="00DCE6F1"/>
      </patternFill>
    </fill>
  </fills>
  <borders count="4">
    <border>
      <left/>
      <right/>
      <top/>
      <bottom/>
      <diagonal/>
    </border>
    <border>
      <bottom style="thin"/>
    </border>
    <border>
      <top style="thin"/>
    </border>
    <border>
      <top style="thin"/>
      <bottom style="double"/>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0" borderId="0" pivotButton="0" quotePrefix="0" xfId="0"/>
    <xf numFmtId="0" fontId="5" fillId="2" borderId="0" applyAlignment="1" pivotButton="0" quotePrefix="0" xfId="0">
      <alignment vertical="center" wrapText="1"/>
    </xf>
    <xf numFmtId="0" fontId="2" fillId="3" borderId="0" applyAlignment="1" pivotButton="0" quotePrefix="0" xfId="0">
      <alignment horizontal="center"/>
    </xf>
    <xf numFmtId="0" fontId="6" fillId="2" borderId="0" applyAlignment="1" pivotButton="0" quotePrefix="0" xfId="0">
      <alignment horizontal="center"/>
    </xf>
    <xf numFmtId="0" fontId="0" fillId="2" borderId="0" pivotButton="0" quotePrefix="0" xfId="0"/>
    <xf numFmtId="0" fontId="7" fillId="0" borderId="0" pivotButton="0" quotePrefix="0" xfId="0"/>
    <xf numFmtId="0" fontId="8" fillId="0" borderId="0" applyAlignment="1" pivotButton="0" quotePrefix="0" xfId="0">
      <alignment horizontal="right"/>
    </xf>
    <xf numFmtId="0" fontId="9" fillId="0" borderId="0" pivotButton="0" quotePrefix="0" xfId="0"/>
    <xf numFmtId="0" fontId="10" fillId="0" borderId="0" pivotButton="0" quotePrefix="0" xfId="0"/>
    <xf numFmtId="0" fontId="12" fillId="3" borderId="0" pivotButton="0" quotePrefix="0" xfId="0"/>
    <xf numFmtId="0" fontId="0" fillId="3" borderId="0" pivotButton="0" quotePrefix="0" xfId="0"/>
    <xf numFmtId="0" fontId="10" fillId="3" borderId="0" pivotButton="0" quotePrefix="0" xfId="0"/>
    <xf numFmtId="0" fontId="2" fillId="0" borderId="1" pivotButton="0" quotePrefix="0" xfId="0"/>
    <xf numFmtId="0" fontId="0" fillId="0" borderId="1" pivotButton="0" quotePrefix="0" xfId="0"/>
    <xf numFmtId="165" fontId="3" fillId="0" borderId="0" pivotButton="0" quotePrefix="0" xfId="0"/>
    <xf numFmtId="165" fontId="4" fillId="0" borderId="0" pivotButton="0" quotePrefix="0" xfId="0"/>
    <xf numFmtId="164" fontId="3" fillId="0" borderId="0" pivotButton="0" quotePrefix="0" xfId="0"/>
    <xf numFmtId="1" fontId="3" fillId="0" borderId="0" pivotButton="0" quotePrefix="0" xfId="0"/>
    <xf numFmtId="1" fontId="4" fillId="0" borderId="0" pivotButton="0" quotePrefix="0" xfId="0"/>
    <xf numFmtId="164" fontId="2" fillId="0" borderId="0" pivotButton="0" quotePrefix="0" xfId="0"/>
    <xf numFmtId="164" fontId="2" fillId="0" borderId="2" pivotButton="0" quotePrefix="0" xfId="0"/>
    <xf numFmtId="164" fontId="2" fillId="0" borderId="3" pivotButton="0" quotePrefix="0" xfId="0"/>
    <xf numFmtId="166" fontId="7" fillId="0" borderId="0" pivotButton="0" quotePrefix="0" xfId="0"/>
    <xf numFmtId="164" fontId="3" fillId="0" borderId="2" pivotButton="0" quotePrefix="0" xfId="0"/>
    <xf numFmtId="168" fontId="4" fillId="0" borderId="0" pivotButton="0" quotePrefix="0" xfId="0"/>
    <xf numFmtId="10" fontId="4" fillId="0" borderId="0" pivotButton="0" quotePrefix="0" xfId="0"/>
    <xf numFmtId="169" fontId="4" fillId="0" borderId="0" pivotButton="0" quotePrefix="0" xfId="0"/>
    <xf numFmtId="168" fontId="7" fillId="0" borderId="0" pivotButton="0" quotePrefix="0" xfId="0"/>
    <xf numFmtId="1" fontId="1" fillId="0" borderId="0" pivotButton="0" quotePrefix="0" xfId="0"/>
    <xf numFmtId="2" fontId="1" fillId="0" borderId="0" pivotButton="0" quotePrefix="0" xfId="0"/>
    <xf numFmtId="170" fontId="1" fillId="0" borderId="0" pivotButton="0" quotePrefix="0" xfId="0"/>
    <xf numFmtId="164" fontId="3" fillId="0" borderId="1" pivotButton="0" quotePrefix="0" xfId="0"/>
    <xf numFmtId="169" fontId="3" fillId="0" borderId="0" pivotButton="0" quotePrefix="0" xfId="0"/>
    <xf numFmtId="0" fontId="11" fillId="0" borderId="0" pivotButton="0" quotePrefix="0" xfId="0"/>
    <xf numFmtId="9" fontId="3" fillId="0" borderId="0" pivotButton="0" quotePrefix="0" xfId="0"/>
    <xf numFmtId="165" fontId="2" fillId="0" borderId="0" pivotButton="0" quotePrefix="0" xfId="0"/>
    <xf numFmtId="0" fontId="12" fillId="0" borderId="0" pivotButton="0" quotePrefix="0" xfId="0"/>
    <xf numFmtId="10" fontId="2" fillId="0" borderId="0" pivotButton="0" quotePrefix="0" xfId="0"/>
    <xf numFmtId="10" fontId="3" fillId="0" borderId="0" pivotButton="0" quotePrefix="0" xfId="0"/>
    <xf numFmtId="10" fontId="1" fillId="0" borderId="0" pivotButton="0" quotePrefix="0" xfId="0"/>
    <xf numFmtId="0" fontId="1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Revenue &amp; Gross Profit Margin</a:t>
            </a:r>
          </a:p>
        </rich>
      </tx>
    </title>
    <plotArea>
      <barChart>
        <barDir val="col"/>
        <grouping val="clustered"/>
        <ser>
          <idx val="0"/>
          <order val="0"/>
          <tx>
            <strRef>
              <f>'Financial Model &amp; DCF'!$A$277</f>
            </strRef>
          </tx>
          <spPr>
            <a:solidFill xmlns:a="http://schemas.openxmlformats.org/drawingml/2006/main">
              <a:srgbClr val="4472C4"/>
            </a:solidFill>
            <a:ln xmlns:a="http://schemas.openxmlformats.org/drawingml/2006/main">
              <a:prstDash val="solid"/>
            </a:ln>
          </spPr>
          <invertIfNegative val="0"/>
          <cat>
            <numRef>
              <f>'Financial Model &amp; DCF'!$D$2:$R$2</f>
            </numRef>
          </cat>
          <val>
            <numRef>
              <f>'Financial Model &amp; DCF'!$D$277:$R$277</f>
            </numRef>
          </val>
        </ser>
        <gapWidth val="60"/>
        <axId val="10"/>
        <axId val="100"/>
      </barChart>
      <lineChart>
        <grouping val="standard"/>
        <ser>
          <idx val="1"/>
          <order val="1"/>
          <tx>
            <strRef>
              <f>'Financial Model &amp; DCF'!$A$278</f>
            </strRef>
          </tx>
          <spPr>
            <a:ln xmlns:a="http://schemas.openxmlformats.org/drawingml/2006/main">
              <a:solidFill>
                <a:srgbClr val="ED7D31"/>
              </a:solidFill>
              <a:prstDash val="solid"/>
            </a:ln>
          </spPr>
          <marker>
            <symbol val="none"/>
            <spPr>
              <a:ln xmlns:a="http://schemas.openxmlformats.org/drawingml/2006/main">
                <a:prstDash val="solid"/>
              </a:ln>
            </spPr>
          </marker>
          <val>
            <numRef>
              <f>'Financial Model &amp; DCF'!$D$278:$R$278</f>
            </numRef>
          </val>
        </ser>
        <axId val="10"/>
        <axId val="200"/>
      </line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valAx>
        <axId val="200"/>
        <scaling>
          <orientation val="minMax"/>
        </scaling>
        <delete val="0"/>
        <axPos val="l"/>
        <majorGridlines/>
        <numFmt formatCode="0%" sourceLinked="0"/>
        <majorTickMark val="none"/>
        <minorTickMark val="none"/>
        <crossAx val="10"/>
        <crosses val="max"/>
      </valAx>
    </plotArea>
    <legend>
      <legendPos val="b"/>
      <overlay val="0"/>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Cash Flow</a:t>
            </a:r>
          </a:p>
        </rich>
      </tx>
    </title>
    <plotArea>
      <barChart>
        <barDir val="col"/>
        <grouping val="clustered"/>
        <ser>
          <idx val="0"/>
          <order val="0"/>
          <tx>
            <strRef>
              <f>'Financial Model &amp; DCF'!$A$280</f>
            </strRef>
          </tx>
          <spPr>
            <a:solidFill xmlns:a="http://schemas.openxmlformats.org/drawingml/2006/main">
              <a:srgbClr val="4472C4"/>
            </a:solidFill>
            <a:ln xmlns:a="http://schemas.openxmlformats.org/drawingml/2006/main">
              <a:prstDash val="solid"/>
            </a:ln>
          </spPr>
          <invertIfNegative val="0"/>
          <cat>
            <numRef>
              <f>'Financial Model &amp; DCF'!$D$2:$R$2</f>
            </numRef>
          </cat>
          <val>
            <numRef>
              <f>'Financial Model &amp; DCF'!$D$280:$R$280</f>
            </numRef>
          </val>
        </ser>
        <ser>
          <idx val="1"/>
          <order val="1"/>
          <tx>
            <strRef>
              <f>'Financial Model &amp; DCF'!$A$281</f>
            </strRef>
          </tx>
          <spPr>
            <a:solidFill xmlns:a="http://schemas.openxmlformats.org/drawingml/2006/main">
              <a:srgbClr val="1F3864"/>
            </a:solidFill>
            <a:ln xmlns:a="http://schemas.openxmlformats.org/drawingml/2006/main">
              <a:prstDash val="solid"/>
            </a:ln>
          </spPr>
          <invertIfNegative val="0"/>
          <cat>
            <numRef>
              <f>'Financial Model &amp; DCF'!$D$2:$R$2</f>
            </numRef>
          </cat>
          <val>
            <numRef>
              <f>'Financial Model &amp; DCF'!$D$281:$R$281</f>
            </numRef>
          </val>
        </ser>
        <ser>
          <idx val="2"/>
          <order val="2"/>
          <tx>
            <strRef>
              <f>'Financial Model &amp; DCF'!$A$282</f>
            </strRef>
          </tx>
          <spPr>
            <a:solidFill xmlns:a="http://schemas.openxmlformats.org/drawingml/2006/main">
              <a:srgbClr val="5BC0DE"/>
            </a:solidFill>
            <a:ln xmlns:a="http://schemas.openxmlformats.org/drawingml/2006/main">
              <a:prstDash val="solid"/>
            </a:ln>
          </spPr>
          <invertIfNegative val="0"/>
          <cat>
            <numRef>
              <f>'Financial Model &amp; DCF'!$D$2:$R$2</f>
            </numRef>
          </cat>
          <val>
            <numRef>
              <f>'Financial Model &amp; DCF'!$D$282:$R$282</f>
            </numRef>
          </val>
        </ser>
        <gapWidth val="60"/>
        <overlap val="-2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majorTickMark val="none"/>
        <minorTickMark val="none"/>
        <crossAx val="10"/>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285</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285</row>
      <rowOff>0</rowOff>
    </from>
    <ext cx="50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4" customWidth="1" min="1" max="1"/>
    <col width="24" customWidth="1" min="2" max="2"/>
    <col width="12" customWidth="1" min="3" max="3"/>
    <col width="12" customWidth="1" min="4" max="4"/>
    <col width="12" customWidth="1" min="5" max="5"/>
    <col width="12" customWidth="1" min="6" max="6"/>
    <col width="12" customWidth="1" min="7" max="7"/>
  </cols>
  <sheetData>
    <row r="1">
      <c r="A1" s="1" t="inlineStr">
        <is>
          <t>DATA INPUT - historical financials. Fixed row keys in column A; one column per year. A Python extractor should write ONLY this tab. (You may hide this tab.)</t>
        </is>
      </c>
    </row>
    <row r="3">
      <c r="A3" s="2" t="inlineStr">
        <is>
          <t>key</t>
        </is>
      </c>
      <c r="B3" s="2" t="inlineStr">
        <is>
          <t>label</t>
        </is>
      </c>
      <c r="C3" s="2" t="inlineStr">
        <is>
          <t>FY2021</t>
        </is>
      </c>
      <c r="D3" s="2" t="inlineStr">
        <is>
          <t>FY2022</t>
        </is>
      </c>
      <c r="E3" s="2" t="inlineStr">
        <is>
          <t>FY2023</t>
        </is>
      </c>
      <c r="F3" s="2" t="inlineStr">
        <is>
          <t>FY2024</t>
        </is>
      </c>
      <c r="G3" s="2" t="inlineStr">
        <is>
          <t>FY2025</t>
        </is>
      </c>
    </row>
    <row r="4">
      <c r="A4" s="1" t="inlineStr">
        <is>
          <t>-- income_statement --</t>
        </is>
      </c>
    </row>
    <row r="5">
      <c r="A5" s="3" t="inlineStr">
        <is>
          <t>revenue</t>
        </is>
      </c>
      <c r="B5" s="3" t="inlineStr">
        <is>
          <t>Revenue</t>
        </is>
      </c>
      <c r="C5" s="4" t="n">
        <v>117.929</v>
      </c>
      <c r="D5" s="4" t="n">
        <v>116.609</v>
      </c>
      <c r="E5" s="4" t="n">
        <v>134.902</v>
      </c>
      <c r="F5" s="4" t="n">
        <v>164.501</v>
      </c>
      <c r="G5" s="4" t="n">
        <v>200.966</v>
      </c>
    </row>
    <row r="6">
      <c r="A6" s="3" t="inlineStr">
        <is>
          <t>cogs</t>
        </is>
      </c>
      <c r="B6" s="3" t="inlineStr">
        <is>
          <t>Cogs</t>
        </is>
      </c>
      <c r="C6" s="4" t="n">
        <v>22.649</v>
      </c>
      <c r="D6" s="4" t="n">
        <v>25.249</v>
      </c>
      <c r="E6" s="4" t="n">
        <v>25.959</v>
      </c>
      <c r="F6" s="4" t="n">
        <v>30.161</v>
      </c>
      <c r="G6" s="4" t="n">
        <v>36.175</v>
      </c>
    </row>
    <row r="7">
      <c r="A7" s="3" t="inlineStr">
        <is>
          <t>salaries_and_benefits</t>
        </is>
      </c>
      <c r="B7" s="3" t="inlineStr">
        <is>
          <t>Salaries And Benefits</t>
        </is>
      </c>
      <c r="C7" s="4" t="n">
        <v>20.6072</v>
      </c>
      <c r="D7" s="4" t="n">
        <v>30.4203</v>
      </c>
      <c r="E7" s="4" t="n">
        <v>31.5663</v>
      </c>
      <c r="F7" s="4" t="n">
        <v>33.4059</v>
      </c>
      <c r="G7" s="4" t="n">
        <v>44.2697</v>
      </c>
    </row>
    <row r="8">
      <c r="A8" s="3" t="inlineStr">
        <is>
          <t>rent_and_overhead</t>
        </is>
      </c>
      <c r="B8" s="3" t="inlineStr">
        <is>
          <t>Rent And Overhead</t>
        </is>
      </c>
      <c r="C8" s="4" t="n">
        <v>19.9528</v>
      </c>
      <c r="D8" s="4" t="n">
        <v>23.3097</v>
      </c>
      <c r="E8" s="4" t="n">
        <v>19.4477</v>
      </c>
      <c r="F8" s="4" t="n">
        <v>16.0561</v>
      </c>
      <c r="G8" s="4" t="n">
        <v>18.6293</v>
      </c>
    </row>
    <row r="9">
      <c r="A9" s="3" t="inlineStr">
        <is>
          <t>d_and_a</t>
        </is>
      </c>
      <c r="B9" s="3" t="inlineStr">
        <is>
          <t>D And A</t>
        </is>
      </c>
      <c r="C9" s="4" t="n">
        <v>7.967</v>
      </c>
      <c r="D9" s="4" t="n">
        <v>8.686</v>
      </c>
      <c r="E9" s="4" t="n">
        <v>11.178</v>
      </c>
      <c r="F9" s="4" t="n">
        <v>15.498</v>
      </c>
      <c r="G9" s="4" t="n">
        <v>18.616</v>
      </c>
    </row>
    <row r="10">
      <c r="A10" s="3" t="inlineStr">
        <is>
          <t>interest</t>
        </is>
      </c>
      <c r="B10" s="3" t="inlineStr">
        <is>
          <t>Interest</t>
        </is>
      </c>
      <c r="C10" s="4" t="n">
        <v>0.023</v>
      </c>
      <c r="D10" s="4" t="n">
        <v>0.185</v>
      </c>
      <c r="E10" s="4" t="n">
        <v>0.446</v>
      </c>
      <c r="F10" s="4" t="n">
        <v>0.715</v>
      </c>
      <c r="G10" s="4" t="n">
        <v>1.165</v>
      </c>
    </row>
    <row r="11">
      <c r="A11" s="3" t="inlineStr">
        <is>
          <t>taxes</t>
        </is>
      </c>
      <c r="B11" s="3" t="inlineStr">
        <is>
          <t>Taxes</t>
        </is>
      </c>
      <c r="C11" s="4" t="n">
        <v>7.914</v>
      </c>
      <c r="D11" s="4" t="n">
        <v>5.619</v>
      </c>
      <c r="E11" s="4" t="n">
        <v>8.33</v>
      </c>
      <c r="F11" s="4" t="n">
        <v>8.303000000000001</v>
      </c>
      <c r="G11" s="4" t="n">
        <v>25.474</v>
      </c>
    </row>
    <row r="12">
      <c r="A12" s="1" t="inlineStr">
        <is>
          <t>-- balance_sheet --</t>
        </is>
      </c>
    </row>
    <row r="13">
      <c r="A13" s="3" t="inlineStr">
        <is>
          <t>cash</t>
        </is>
      </c>
      <c r="B13" s="3" t="inlineStr">
        <is>
          <t>Cash</t>
        </is>
      </c>
      <c r="C13" s="4" t="n">
        <v>54.773</v>
      </c>
      <c r="D13" s="4" t="n">
        <v>46.939</v>
      </c>
      <c r="E13" s="4" t="n">
        <v>71.544</v>
      </c>
      <c r="F13" s="4" t="n">
        <v>83.88500000000001</v>
      </c>
      <c r="G13" s="4" t="n">
        <v>109.116</v>
      </c>
    </row>
    <row r="14">
      <c r="A14" s="3" t="inlineStr">
        <is>
          <t>accounts_receivable</t>
        </is>
      </c>
      <c r="B14" s="3" t="inlineStr">
        <is>
          <t>Accounts Receivable</t>
        </is>
      </c>
      <c r="C14" s="4" t="n">
        <v>14.039</v>
      </c>
      <c r="D14" s="4" t="n">
        <v>13.466</v>
      </c>
      <c r="E14" s="4" t="n">
        <v>16.169</v>
      </c>
      <c r="F14" s="4" t="n">
        <v>16.994</v>
      </c>
      <c r="G14" s="4" t="n">
        <v>19.769</v>
      </c>
    </row>
    <row r="15">
      <c r="A15" s="3" t="inlineStr">
        <is>
          <t>inventory</t>
        </is>
      </c>
      <c r="B15" s="3" t="inlineStr">
        <is>
          <t>Inventory</t>
        </is>
      </c>
      <c r="C15" s="4" t="n">
        <v>0</v>
      </c>
      <c r="D15" s="4" t="n">
        <v>0</v>
      </c>
      <c r="E15" s="4" t="n">
        <v>0</v>
      </c>
      <c r="F15" s="4" t="n">
        <v>0</v>
      </c>
      <c r="G15" s="4" t="n">
        <v>0</v>
      </c>
    </row>
    <row r="16">
      <c r="A16" s="3" t="inlineStr">
        <is>
          <t>ppe</t>
        </is>
      </c>
      <c r="B16" s="3" t="inlineStr">
        <is>
          <t>Ppe</t>
        </is>
      </c>
      <c r="C16" s="4" t="n">
        <v>97.175</v>
      </c>
      <c r="D16" s="4" t="n">
        <v>125.322</v>
      </c>
      <c r="E16" s="4" t="n">
        <v>141.91</v>
      </c>
      <c r="F16" s="4" t="n">
        <v>175.175</v>
      </c>
      <c r="G16" s="4" t="n">
        <v>237.136</v>
      </c>
    </row>
    <row r="17">
      <c r="A17" s="3" t="inlineStr">
        <is>
          <t>accounts_payable</t>
        </is>
      </c>
      <c r="B17" s="3" t="inlineStr">
        <is>
          <t>Accounts Payable</t>
        </is>
      </c>
      <c r="C17" s="4" t="n">
        <v>27.235</v>
      </c>
      <c r="D17" s="4" t="n">
        <v>33.423</v>
      </c>
      <c r="E17" s="4" t="n">
        <v>39.221</v>
      </c>
      <c r="F17" s="4" t="n">
        <v>44.357</v>
      </c>
      <c r="G17" s="4" t="n">
        <v>64.881</v>
      </c>
    </row>
    <row r="18">
      <c r="A18" s="3" t="inlineStr">
        <is>
          <t>debt</t>
        </is>
      </c>
      <c r="B18" s="3" t="inlineStr">
        <is>
          <t>Debt</t>
        </is>
      </c>
      <c r="C18" s="4" t="n">
        <v>13.873</v>
      </c>
      <c r="D18" s="4" t="n">
        <v>26.591</v>
      </c>
      <c r="E18" s="4" t="n">
        <v>37.234</v>
      </c>
      <c r="F18" s="4" t="n">
        <v>49.06</v>
      </c>
      <c r="G18" s="4" t="n">
        <v>83.89700000000001</v>
      </c>
    </row>
    <row r="19">
      <c r="A19" s="3" t="inlineStr">
        <is>
          <t>equity_capital</t>
        </is>
      </c>
      <c r="B19" s="3" t="inlineStr">
        <is>
          <t>Equity Capital</t>
        </is>
      </c>
      <c r="C19" s="4" t="n">
        <v>55.118</v>
      </c>
      <c r="D19" s="4" t="n">
        <v>60.914</v>
      </c>
      <c r="E19" s="4" t="n">
        <v>71.098</v>
      </c>
      <c r="F19" s="4" t="n">
        <v>80.131</v>
      </c>
      <c r="G19" s="4" t="n">
        <v>96.06399999999999</v>
      </c>
    </row>
    <row r="20">
      <c r="A20" s="3" t="inlineStr">
        <is>
          <t>retained_earnings</t>
        </is>
      </c>
      <c r="B20" s="3" t="inlineStr">
        <is>
          <t>Retained Earnings</t>
        </is>
      </c>
      <c r="C20" s="4" t="n">
        <v>69.761</v>
      </c>
      <c r="D20" s="4" t="n">
        <v>64.79900000000001</v>
      </c>
      <c r="E20" s="4" t="n">
        <v>82.06999999999999</v>
      </c>
      <c r="F20" s="4" t="n">
        <v>102.506</v>
      </c>
      <c r="G20" s="4" t="n">
        <v>121.179</v>
      </c>
    </row>
    <row r="21">
      <c r="A21" s="1" t="inlineStr">
        <is>
          <t>-- schedules --</t>
        </is>
      </c>
    </row>
    <row r="22">
      <c r="A22" s="3" t="inlineStr">
        <is>
          <t>capex</t>
        </is>
      </c>
      <c r="B22" s="3" t="inlineStr">
        <is>
          <t>Capex</t>
        </is>
      </c>
      <c r="C22" s="4" t="n">
        <v>18.567</v>
      </c>
      <c r="D22" s="4" t="n">
        <v>31.431</v>
      </c>
      <c r="E22" s="4" t="n">
        <v>27.266</v>
      </c>
      <c r="F22" s="4" t="n">
        <v>37.256</v>
      </c>
      <c r="G22" s="4" t="n">
        <v>69.691</v>
      </c>
    </row>
    <row r="23">
      <c r="A23" s="3" t="inlineStr">
        <is>
          <t>debt_issuance</t>
        </is>
      </c>
      <c r="B23" s="3" t="inlineStr">
        <is>
          <t>Debt Issuance</t>
        </is>
      </c>
      <c r="C23" s="4" t="n">
        <v>-0.663</v>
      </c>
      <c r="D23" s="4" t="n">
        <v>9.071</v>
      </c>
      <c r="E23" s="4" t="n">
        <v>7.397</v>
      </c>
      <c r="F23" s="4" t="n">
        <v>8.462999999999999</v>
      </c>
      <c r="G23" s="4" t="n">
        <v>27.382</v>
      </c>
    </row>
    <row r="24">
      <c r="A24" s="3" t="inlineStr">
        <is>
          <t>equity_issued</t>
        </is>
      </c>
      <c r="B24" s="3" t="inlineStr">
        <is>
          <t>Equity Issued</t>
        </is>
      </c>
      <c r="C24" s="4" t="n">
        <v>-44.537</v>
      </c>
      <c r="D24" s="4" t="n">
        <v>-31.551</v>
      </c>
      <c r="E24" s="4" t="n">
        <v>-26.786</v>
      </c>
      <c r="F24" s="4" t="n">
        <v>-30.125</v>
      </c>
      <c r="G24" s="4" t="n">
        <v>-26.248</v>
      </c>
    </row>
    <row r="25">
      <c r="A25" s="1" t="inlineStr">
        <is>
          <t>-- opening_balances --</t>
        </is>
      </c>
    </row>
    <row r="26">
      <c r="A26" s="3" t="inlineStr">
        <is>
          <t>ppe_opening_first</t>
        </is>
      </c>
      <c r="B26" s="3" t="inlineStr">
        <is>
          <t>Ppe Opening First</t>
        </is>
      </c>
      <c r="C26" s="4" t="n">
        <v>86.575</v>
      </c>
    </row>
    <row r="27">
      <c r="A27" s="3" t="inlineStr">
        <is>
          <t>debt_opening_first</t>
        </is>
      </c>
      <c r="B27" s="3" t="inlineStr">
        <is>
          <t>Debt Opening First</t>
        </is>
      </c>
      <c r="C27" s="4" t="n">
        <v>14.536</v>
      </c>
    </row>
    <row r="28">
      <c r="A28" s="3" t="inlineStr">
        <is>
          <t>nol_opening</t>
        </is>
      </c>
      <c r="B28" s="3" t="inlineStr">
        <is>
          <t>Nol Opening</t>
        </is>
      </c>
      <c r="C28" s="4" t="n">
        <v>0</v>
      </c>
    </row>
  </sheetData>
  <pageMargins left="0.75" right="0.75" top="1" bottom="1" header="0.5" footer="0.5"/>
</worksheet>
</file>

<file path=xl/worksheets/sheet2.xml><?xml version="1.0" encoding="utf-8"?>
<worksheet xmlns="http://schemas.openxmlformats.org/spreadsheetml/2006/main">
  <sheetPr>
    <tabColor rgb="002E5B9F"/>
    <outlinePr summaryBelow="1" summaryRight="1"/>
    <pageSetUpPr/>
  </sheetPr>
  <dimension ref="A1:T282"/>
  <sheetViews>
    <sheetView showGridLines="0" workbookViewId="0">
      <selection activeCell="A1" sqref="A1"/>
    </sheetView>
  </sheetViews>
  <sheetFormatPr baseColWidth="8" defaultRowHeight="15"/>
  <cols>
    <col width="42" customWidth="1" min="1" max="1"/>
    <col width="2" customWidth="1" min="2" max="2"/>
    <col width="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1">
      <c r="A1" s="5" t="inlineStr">
        <is>
          <t xml:space="preserve"> Meta Platforms, Inc. (NASDAQ: META)</t>
        </is>
      </c>
      <c r="D1" s="6" t="inlineStr">
        <is>
          <t>Historical Results</t>
        </is>
      </c>
      <c r="I1" s="7" t="inlineStr">
        <is>
          <t>Forecast Period</t>
        </is>
      </c>
      <c r="S1" s="8" t="n"/>
    </row>
    <row r="2">
      <c r="D2" s="6" t="inlineStr">
        <is>
          <t>2021</t>
        </is>
      </c>
      <c r="E2" s="6" t="inlineStr">
        <is>
          <t>2022</t>
        </is>
      </c>
      <c r="F2" s="6" t="inlineStr">
        <is>
          <t>2023</t>
        </is>
      </c>
      <c r="G2" s="6" t="inlineStr">
        <is>
          <t>2024</t>
        </is>
      </c>
      <c r="H2" s="6" t="inlineStr">
        <is>
          <t>2025</t>
        </is>
      </c>
      <c r="I2" s="7" t="inlineStr">
        <is>
          <t>2026</t>
        </is>
      </c>
      <c r="J2" s="7" t="inlineStr">
        <is>
          <t>2027</t>
        </is>
      </c>
      <c r="K2" s="7" t="inlineStr">
        <is>
          <t>2028</t>
        </is>
      </c>
      <c r="L2" s="7" t="inlineStr">
        <is>
          <t>2029</t>
        </is>
      </c>
      <c r="M2" s="7" t="inlineStr">
        <is>
          <t>2030</t>
        </is>
      </c>
      <c r="N2" s="7" t="inlineStr">
        <is>
          <t>2031</t>
        </is>
      </c>
      <c r="O2" s="7" t="inlineStr">
        <is>
          <t>2032</t>
        </is>
      </c>
      <c r="P2" s="7" t="inlineStr">
        <is>
          <t>2033</t>
        </is>
      </c>
      <c r="Q2" s="7" t="inlineStr">
        <is>
          <t>2034</t>
        </is>
      </c>
      <c r="R2" s="7" t="inlineStr">
        <is>
          <t>2035</t>
        </is>
      </c>
      <c r="S2" s="8" t="n"/>
    </row>
    <row r="3">
      <c r="A3" s="9" t="inlineStr">
        <is>
          <t>Balance Sheet Check</t>
        </is>
      </c>
      <c r="D3" s="10">
        <f>IF(ABS(D60)&lt;0.005,"OK","ERROR")</f>
        <v/>
      </c>
      <c r="E3" s="10">
        <f>IF(ABS(E60)&lt;0.005,"OK","ERROR")</f>
        <v/>
      </c>
      <c r="F3" s="10">
        <f>IF(ABS(F60)&lt;0.005,"OK","ERROR")</f>
        <v/>
      </c>
      <c r="G3" s="10">
        <f>IF(ABS(G60)&lt;0.005,"OK","ERROR")</f>
        <v/>
      </c>
      <c r="H3" s="10">
        <f>IF(ABS(H60)&lt;0.005,"OK","ERROR")</f>
        <v/>
      </c>
      <c r="I3" s="10">
        <f>IF(ABS(I60)&lt;0.005,"OK","ERROR")</f>
        <v/>
      </c>
      <c r="J3" s="10">
        <f>IF(ABS(J60)&lt;0.005,"OK","ERROR")</f>
        <v/>
      </c>
      <c r="K3" s="10">
        <f>IF(ABS(K60)&lt;0.005,"OK","ERROR")</f>
        <v/>
      </c>
      <c r="L3" s="10">
        <f>IF(ABS(L60)&lt;0.005,"OK","ERROR")</f>
        <v/>
      </c>
      <c r="M3" s="10">
        <f>IF(ABS(M60)&lt;0.005,"OK","ERROR")</f>
        <v/>
      </c>
      <c r="N3" s="10">
        <f>IF(ABS(N60)&lt;0.005,"OK","ERROR")</f>
        <v/>
      </c>
      <c r="O3" s="10">
        <f>IF(ABS(O60)&lt;0.005,"OK","ERROR")</f>
        <v/>
      </c>
      <c r="P3" s="10">
        <f>IF(ABS(P60)&lt;0.005,"OK","ERROR")</f>
        <v/>
      </c>
      <c r="Q3" s="10">
        <f>IF(ABS(Q60)&lt;0.005,"OK","ERROR")</f>
        <v/>
      </c>
      <c r="R3" s="10">
        <f>IF(ABS(R60)&lt;0.005,"OK","ERROR")</f>
        <v/>
      </c>
    </row>
    <row r="4">
      <c r="A4" s="11" t="inlineStr">
        <is>
          <t>All figures in USD billions unless noted | per-share values in USD</t>
        </is>
      </c>
      <c r="E4" s="12" t="inlineStr">
        <is>
          <t>Scenario: Prices 17-Jul-2026 (live quote). rf 4.55% = US 10Y as-of 17-Jul-2026 (was 4.30% - refreshed); terminal g = rf per Damodaran convention. AUDITED CONVENTIONS: per-share = equity / TODAY'S diluted count; capital returns modeled as equity outflows (count constant - no double count); treasury line includes ST+LT investments (in the equity bridge; their income excluded from FCF). DAMODARAN 10-YR: growth 14%-&gt;4.5%, opex leverage 31.7%-&gt;28%, AI capex $75-80B-&gt;65B, WACC 9.9%-&gt;8.7%, terminal g=rf, exit 13x. Returns $32B/yr. FY25 tax 29.6% distorted by deferred one-offs; modeled 20%. Consensus $828. Year-1 D&amp;A +21% vs FY2025 is deliberate: management guides accelerating depreciation as the AI-datacenter buildout enters service.</t>
        </is>
      </c>
    </row>
    <row r="5">
      <c r="A5" s="13" t="inlineStr">
        <is>
          <t>Assumptions</t>
        </is>
      </c>
      <c r="B5" s="14" t="n"/>
      <c r="C5" s="14" t="n"/>
      <c r="D5" s="14" t="n"/>
      <c r="E5" s="15" t="inlineStr">
        <is>
          <t>Corporate actions: none found - searched 2026-07-16; buybacks modeled as capital returns. NEWS SCAN 2026-07-19: stock +21% month-to-date on AI infrastructure narrative; Iris in-house AI chip to production Sept-2026, plan to double compute to 14GW; management pivoting to SELL excess compute externally (revenue line NOT in this deck - upside). Forward P/E lags Mag-7 peers. No dilutive actions.</t>
        </is>
      </c>
      <c r="F5" s="14" t="n"/>
      <c r="G5" s="14" t="n"/>
      <c r="H5" s="14" t="n"/>
      <c r="I5" s="14" t="n"/>
      <c r="J5" s="14" t="n"/>
      <c r="K5" s="14" t="n"/>
      <c r="L5" s="14" t="n"/>
      <c r="M5" s="14" t="n"/>
      <c r="N5" s="14" t="n"/>
      <c r="O5" s="14" t="n"/>
      <c r="P5" s="14" t="n"/>
      <c r="Q5" s="14" t="n"/>
      <c r="R5" s="14" t="n"/>
      <c r="S5" s="14" t="n"/>
    </row>
    <row r="7">
      <c r="A7" s="16" t="inlineStr">
        <is>
          <t>Key Assumptions</t>
        </is>
      </c>
      <c r="B7" s="17" t="n"/>
      <c r="C7" s="17" t="n"/>
      <c r="D7" s="17" t="n"/>
      <c r="E7" s="17" t="n"/>
      <c r="F7" s="17" t="n"/>
      <c r="G7" s="17" t="n"/>
      <c r="H7" s="17" t="n"/>
      <c r="I7" s="17" t="n"/>
      <c r="J7" s="17" t="n"/>
      <c r="K7" s="17" t="n"/>
      <c r="L7" s="17" t="n"/>
      <c r="M7" s="17" t="n"/>
      <c r="N7" s="17" t="n"/>
      <c r="O7" s="17" t="n"/>
      <c r="P7" s="17" t="n"/>
      <c r="Q7" s="17" t="n"/>
      <c r="R7" s="17" t="n"/>
      <c r="S7" s="17" t="n"/>
    </row>
    <row r="8">
      <c r="A8" s="3" t="inlineStr">
        <is>
          <t>Revenue Growth (% Change)</t>
        </is>
      </c>
      <c r="E8" s="18">
        <f>E26/D26-1</f>
        <v/>
      </c>
      <c r="F8" s="18">
        <f>F26/E26-1</f>
        <v/>
      </c>
      <c r="G8" s="18">
        <f>G26/F26-1</f>
        <v/>
      </c>
      <c r="H8" s="18">
        <f>H26/G26-1</f>
        <v/>
      </c>
      <c r="I8" s="19" t="n">
        <v>0.14</v>
      </c>
      <c r="J8" s="19" t="n">
        <v>0.13</v>
      </c>
      <c r="K8" s="19" t="n">
        <v>0.12</v>
      </c>
      <c r="L8" s="19" t="n">
        <v>0.11</v>
      </c>
      <c r="M8" s="19" t="n">
        <v>0.1</v>
      </c>
      <c r="N8" s="19" t="n">
        <v>0.09</v>
      </c>
      <c r="O8" s="19" t="n">
        <v>0.08</v>
      </c>
      <c r="P8" s="19" t="n">
        <v>0.07000000000000001</v>
      </c>
      <c r="Q8" s="19" t="n">
        <v>0.06</v>
      </c>
      <c r="R8" s="19" t="n">
        <v>0.045</v>
      </c>
    </row>
    <row r="9">
      <c r="A9" s="3" t="inlineStr">
        <is>
          <t>Cost of Goods Sold (% of Revenue)</t>
        </is>
      </c>
      <c r="D9" s="18">
        <f>D27/D26</f>
        <v/>
      </c>
      <c r="E9" s="18">
        <f>E27/E26</f>
        <v/>
      </c>
      <c r="F9" s="18">
        <f>F27/F26</f>
        <v/>
      </c>
      <c r="G9" s="18">
        <f>G27/G26</f>
        <v/>
      </c>
      <c r="H9" s="18">
        <f>H27/H26</f>
        <v/>
      </c>
      <c r="I9" s="19" t="n">
        <v>0.18</v>
      </c>
      <c r="J9" s="19" t="n">
        <v>0.18</v>
      </c>
      <c r="K9" s="19" t="n">
        <v>0.18</v>
      </c>
      <c r="L9" s="19" t="n">
        <v>0.18</v>
      </c>
      <c r="M9" s="19" t="n">
        <v>0.18</v>
      </c>
      <c r="N9" s="19" t="n">
        <v>0.18</v>
      </c>
      <c r="O9" s="19" t="n">
        <v>0.18</v>
      </c>
      <c r="P9" s="19" t="n">
        <v>0.18</v>
      </c>
      <c r="Q9" s="19" t="n">
        <v>0.18</v>
      </c>
      <c r="R9" s="19" t="n">
        <v>0.18</v>
      </c>
    </row>
    <row r="10">
      <c r="A10" s="3" t="inlineStr">
        <is>
          <t>Research &amp; Development (% of Revenue)</t>
        </is>
      </c>
      <c r="D10" s="18">
        <f>D30/D26</f>
        <v/>
      </c>
      <c r="E10" s="18">
        <f>E30/E26</f>
        <v/>
      </c>
      <c r="F10" s="18">
        <f>F30/F26</f>
        <v/>
      </c>
      <c r="G10" s="18">
        <f>G30/G26</f>
        <v/>
      </c>
      <c r="H10" s="18">
        <f>H30/H26</f>
        <v/>
      </c>
      <c r="I10" s="19" t="n">
        <v>0.2231</v>
      </c>
      <c r="J10" s="19" t="n">
        <v>0.2196</v>
      </c>
      <c r="K10" s="19" t="n">
        <v>0.2161</v>
      </c>
      <c r="L10" s="19" t="n">
        <v>0.2126</v>
      </c>
      <c r="M10" s="19" t="n">
        <v>0.209</v>
      </c>
      <c r="N10" s="19" t="n">
        <v>0.2055</v>
      </c>
      <c r="O10" s="19" t="n">
        <v>0.2027</v>
      </c>
      <c r="P10" s="19" t="n">
        <v>0.1999</v>
      </c>
      <c r="Q10" s="19" t="n">
        <v>0.1978</v>
      </c>
      <c r="R10" s="19" t="n">
        <v>0.1971</v>
      </c>
    </row>
    <row r="11">
      <c r="A11" s="3" t="inlineStr">
        <is>
          <t>Marketing &amp; Sales + General &amp; Administrative (USD billions)</t>
        </is>
      </c>
      <c r="D11" s="20">
        <f>D31</f>
        <v/>
      </c>
      <c r="E11" s="20">
        <f>E31</f>
        <v/>
      </c>
      <c r="F11" s="20">
        <f>F31</f>
        <v/>
      </c>
      <c r="G11" s="20">
        <f>G31</f>
        <v/>
      </c>
      <c r="H11" s="20">
        <f>H31</f>
        <v/>
      </c>
      <c r="I11" s="4" t="n">
        <v>21.51</v>
      </c>
      <c r="J11" s="4" t="n">
        <v>23.92</v>
      </c>
      <c r="K11" s="4" t="n">
        <v>26.36</v>
      </c>
      <c r="L11" s="4" t="n">
        <v>28.79</v>
      </c>
      <c r="M11" s="4" t="n">
        <v>31.14</v>
      </c>
      <c r="N11" s="4" t="n">
        <v>33.37</v>
      </c>
      <c r="O11" s="4" t="n">
        <v>35.55</v>
      </c>
      <c r="P11" s="4" t="n">
        <v>37.5</v>
      </c>
      <c r="Q11" s="4" t="n">
        <v>39.34</v>
      </c>
      <c r="R11" s="4" t="n">
        <v>40.96</v>
      </c>
    </row>
    <row r="12">
      <c r="A12" s="3" t="inlineStr">
        <is>
          <t>Depreciation &amp; Amortization (% of PP&amp;E)</t>
        </is>
      </c>
      <c r="D12" s="18">
        <f>D32/D96</f>
        <v/>
      </c>
      <c r="E12" s="18">
        <f>E32/E96</f>
        <v/>
      </c>
      <c r="F12" s="18">
        <f>F32/F96</f>
        <v/>
      </c>
      <c r="G12" s="18">
        <f>G32/G96</f>
        <v/>
      </c>
      <c r="H12" s="18">
        <f>H32/H96</f>
        <v/>
      </c>
      <c r="I12" s="19" t="n">
        <v>0.095</v>
      </c>
      <c r="J12" s="19" t="n">
        <v>0.095</v>
      </c>
      <c r="K12" s="19" t="n">
        <v>0.095</v>
      </c>
      <c r="L12" s="19" t="n">
        <v>0.095</v>
      </c>
      <c r="M12" s="19" t="n">
        <v>0.095</v>
      </c>
      <c r="N12" s="19" t="n">
        <v>0.095</v>
      </c>
      <c r="O12" s="19" t="n">
        <v>0.095</v>
      </c>
      <c r="P12" s="19" t="n">
        <v>0.095</v>
      </c>
      <c r="Q12" s="19" t="n">
        <v>0.095</v>
      </c>
      <c r="R12" s="19" t="n">
        <v>0.095</v>
      </c>
    </row>
    <row r="13">
      <c r="A13" s="3" t="inlineStr">
        <is>
          <t>Interest (% of Debt)</t>
        </is>
      </c>
      <c r="D13" s="18">
        <f>D33/AVERAGE(D102,D104)</f>
        <v/>
      </c>
      <c r="E13" s="18">
        <f>E33/AVERAGE(E102,E104)</f>
        <v/>
      </c>
      <c r="F13" s="18">
        <f>F33/AVERAGE(F102,F104)</f>
        <v/>
      </c>
      <c r="G13" s="18">
        <f>G33/AVERAGE(G102,G104)</f>
        <v/>
      </c>
      <c r="H13" s="18">
        <f>H33/AVERAGE(H102,H104)</f>
        <v/>
      </c>
      <c r="I13" s="19" t="n">
        <v>0.035</v>
      </c>
      <c r="J13" s="19" t="n">
        <v>0.035</v>
      </c>
      <c r="K13" s="19" t="n">
        <v>0.035</v>
      </c>
      <c r="L13" s="19" t="n">
        <v>0.035</v>
      </c>
      <c r="M13" s="19" t="n">
        <v>0.035</v>
      </c>
      <c r="N13" s="19" t="n">
        <v>0.035</v>
      </c>
      <c r="O13" s="19" t="n">
        <v>0.035</v>
      </c>
      <c r="P13" s="19" t="n">
        <v>0.035</v>
      </c>
      <c r="Q13" s="19" t="n">
        <v>0.035</v>
      </c>
      <c r="R13" s="19" t="n">
        <v>0.035</v>
      </c>
    </row>
    <row r="14">
      <c r="A14" s="3" t="inlineStr">
        <is>
          <t>Tax Rate (% of Earnings Before Tax)</t>
        </is>
      </c>
      <c r="D14" s="18">
        <f>IF(D35=0,0,D37/D35)</f>
        <v/>
      </c>
      <c r="E14" s="18">
        <f>IF(E35=0,0,E37/E35)</f>
        <v/>
      </c>
      <c r="F14" s="18">
        <f>IF(F35=0,0,F37/F35)</f>
        <v/>
      </c>
      <c r="G14" s="18">
        <f>IF(G35=0,0,G37/G35)</f>
        <v/>
      </c>
      <c r="H14" s="18">
        <f>IF(H35=0,0,H37/H35)</f>
        <v/>
      </c>
      <c r="I14" s="19" t="n">
        <v>0.2</v>
      </c>
      <c r="J14" s="19" t="n">
        <v>0.2</v>
      </c>
      <c r="K14" s="19" t="n">
        <v>0.2</v>
      </c>
      <c r="L14" s="19" t="n">
        <v>0.2</v>
      </c>
      <c r="M14" s="19" t="n">
        <v>0.2</v>
      </c>
      <c r="N14" s="19" t="n">
        <v>0.2</v>
      </c>
      <c r="O14" s="19" t="n">
        <v>0.2</v>
      </c>
      <c r="P14" s="19" t="n">
        <v>0.2</v>
      </c>
      <c r="Q14" s="19" t="n">
        <v>0.2</v>
      </c>
      <c r="R14" s="19" t="n">
        <v>0.2</v>
      </c>
    </row>
    <row r="15">
      <c r="A15" s="3" t="inlineStr">
        <is>
          <t>Accounts Receivable (Days)</t>
        </is>
      </c>
      <c r="D15" s="21">
        <f>D45/D26*D21</f>
        <v/>
      </c>
      <c r="E15" s="21">
        <f>E45/E26*E21</f>
        <v/>
      </c>
      <c r="F15" s="21">
        <f>F45/F26*F21</f>
        <v/>
      </c>
      <c r="G15" s="21">
        <f>G45/G26*G21</f>
        <v/>
      </c>
      <c r="H15" s="21">
        <f>H45/H26*H21</f>
        <v/>
      </c>
      <c r="I15" s="22" t="n">
        <v>36</v>
      </c>
      <c r="J15" s="22" t="n">
        <v>36</v>
      </c>
      <c r="K15" s="22" t="n">
        <v>36</v>
      </c>
      <c r="L15" s="22" t="n">
        <v>36</v>
      </c>
      <c r="M15" s="22" t="n">
        <v>36</v>
      </c>
      <c r="N15" s="22" t="n">
        <v>36</v>
      </c>
      <c r="O15" s="22" t="n">
        <v>36</v>
      </c>
      <c r="P15" s="22" t="n">
        <v>36</v>
      </c>
      <c r="Q15" s="22" t="n">
        <v>36</v>
      </c>
      <c r="R15" s="22" t="n">
        <v>36</v>
      </c>
    </row>
    <row r="16">
      <c r="A16" s="3" t="inlineStr">
        <is>
          <t>Inventory (Days)</t>
        </is>
      </c>
      <c r="D16" s="21">
        <f>D46/D27*D21</f>
        <v/>
      </c>
      <c r="E16" s="21">
        <f>E46/E27*E21</f>
        <v/>
      </c>
      <c r="F16" s="21">
        <f>F46/F27*F21</f>
        <v/>
      </c>
      <c r="G16" s="21">
        <f>G46/G27*G21</f>
        <v/>
      </c>
      <c r="H16" s="21">
        <f>H46/H27*H21</f>
        <v/>
      </c>
      <c r="I16" s="22" t="n">
        <v>0</v>
      </c>
      <c r="J16" s="22" t="n">
        <v>0</v>
      </c>
      <c r="K16" s="22" t="n">
        <v>0</v>
      </c>
      <c r="L16" s="22" t="n">
        <v>0</v>
      </c>
      <c r="M16" s="22" t="n">
        <v>0</v>
      </c>
      <c r="N16" s="22" t="n">
        <v>0</v>
      </c>
      <c r="O16" s="22" t="n">
        <v>0</v>
      </c>
      <c r="P16" s="22" t="n">
        <v>0</v>
      </c>
      <c r="Q16" s="22" t="n">
        <v>0</v>
      </c>
      <c r="R16" s="22" t="n">
        <v>0</v>
      </c>
    </row>
    <row r="17">
      <c r="A17" s="3" t="inlineStr">
        <is>
          <t>Accounts Payable (Days)</t>
        </is>
      </c>
      <c r="D17" s="21">
        <f>D51/D27*D21</f>
        <v/>
      </c>
      <c r="E17" s="21">
        <f>E51/E27*E21</f>
        <v/>
      </c>
      <c r="F17" s="21">
        <f>F51/F27*F21</f>
        <v/>
      </c>
      <c r="G17" s="21">
        <f>G51/G27*G21</f>
        <v/>
      </c>
      <c r="H17" s="21">
        <f>H51/H27*H21</f>
        <v/>
      </c>
      <c r="I17" s="22" t="n">
        <v>654</v>
      </c>
      <c r="J17" s="22" t="n">
        <v>654</v>
      </c>
      <c r="K17" s="22" t="n">
        <v>654</v>
      </c>
      <c r="L17" s="22" t="n">
        <v>654</v>
      </c>
      <c r="M17" s="22" t="n">
        <v>654</v>
      </c>
      <c r="N17" s="22" t="n">
        <v>654</v>
      </c>
      <c r="O17" s="22" t="n">
        <v>654</v>
      </c>
      <c r="P17" s="22" t="n">
        <v>654</v>
      </c>
      <c r="Q17" s="22" t="n">
        <v>654</v>
      </c>
      <c r="R17" s="22" t="n">
        <v>654</v>
      </c>
    </row>
    <row r="18">
      <c r="A18" s="3" t="inlineStr">
        <is>
          <t>Capital Expenditures (USD billions)</t>
        </is>
      </c>
      <c r="D18" s="20">
        <f>D97</f>
        <v/>
      </c>
      <c r="E18" s="20">
        <f>E97</f>
        <v/>
      </c>
      <c r="F18" s="20">
        <f>F97</f>
        <v/>
      </c>
      <c r="G18" s="20">
        <f>G97</f>
        <v/>
      </c>
      <c r="H18" s="20">
        <f>H97</f>
        <v/>
      </c>
      <c r="I18" s="4" t="n">
        <v>75</v>
      </c>
      <c r="J18" s="4" t="n">
        <v>80</v>
      </c>
      <c r="K18" s="4" t="n">
        <v>80</v>
      </c>
      <c r="L18" s="4" t="n">
        <v>78</v>
      </c>
      <c r="M18" s="4" t="n">
        <v>75</v>
      </c>
      <c r="N18" s="4" t="n">
        <v>72</v>
      </c>
      <c r="O18" s="4" t="n">
        <v>70</v>
      </c>
      <c r="P18" s="4" t="n">
        <v>68</v>
      </c>
      <c r="Q18" s="4" t="n">
        <v>66</v>
      </c>
      <c r="R18" s="4" t="n">
        <v>65</v>
      </c>
    </row>
    <row r="19">
      <c r="A19" s="3" t="inlineStr">
        <is>
          <t>Debt Issuance (Repayment) (USD billions)</t>
        </is>
      </c>
      <c r="D19" s="20">
        <f>D103</f>
        <v/>
      </c>
      <c r="E19" s="20">
        <f>E103</f>
        <v/>
      </c>
      <c r="F19" s="20">
        <f>F103</f>
        <v/>
      </c>
      <c r="G19" s="20">
        <f>G103</f>
        <v/>
      </c>
      <c r="H19" s="20">
        <f>H103</f>
        <v/>
      </c>
      <c r="I19" s="4" t="n">
        <v>0</v>
      </c>
      <c r="J19" s="4" t="n">
        <v>0</v>
      </c>
      <c r="K19" s="4" t="n">
        <v>0</v>
      </c>
      <c r="L19" s="4" t="n">
        <v>0</v>
      </c>
      <c r="M19" s="4" t="n">
        <v>0</v>
      </c>
      <c r="N19" s="4" t="n">
        <v>0</v>
      </c>
      <c r="O19" s="4" t="n">
        <v>0</v>
      </c>
      <c r="P19" s="4" t="n">
        <v>0</v>
      </c>
      <c r="Q19" s="4" t="n">
        <v>0</v>
      </c>
      <c r="R19" s="4" t="n">
        <v>0</v>
      </c>
    </row>
    <row r="20">
      <c r="A20" s="3" t="inlineStr">
        <is>
          <t>Equity Issued (Repaid) (USD billions)</t>
        </is>
      </c>
      <c r="D20" s="20">
        <f>D77</f>
        <v/>
      </c>
      <c r="E20" s="20">
        <f>E77</f>
        <v/>
      </c>
      <c r="F20" s="20">
        <f>F77</f>
        <v/>
      </c>
      <c r="G20" s="20">
        <f>G77</f>
        <v/>
      </c>
      <c r="H20" s="20">
        <f>H77</f>
        <v/>
      </c>
      <c r="I20" s="4" t="n">
        <v>-32</v>
      </c>
      <c r="J20" s="4" t="n">
        <v>-32</v>
      </c>
      <c r="K20" s="4" t="n">
        <v>-32</v>
      </c>
      <c r="L20" s="4" t="n">
        <v>-32</v>
      </c>
      <c r="M20" s="4" t="n">
        <v>-32</v>
      </c>
      <c r="N20" s="4" t="n">
        <v>-32</v>
      </c>
      <c r="O20" s="4" t="n">
        <v>-32</v>
      </c>
      <c r="P20" s="4" t="n">
        <v>-32</v>
      </c>
      <c r="Q20" s="4" t="n">
        <v>-32</v>
      </c>
      <c r="R20" s="4" t="n">
        <v>-32</v>
      </c>
    </row>
    <row r="21">
      <c r="A21" s="3" t="inlineStr">
        <is>
          <t>Days in Period</t>
        </is>
      </c>
      <c r="D21" s="21" t="n">
        <v>365</v>
      </c>
      <c r="E21" s="21" t="n">
        <v>365</v>
      </c>
      <c r="F21" s="21" t="n">
        <v>365</v>
      </c>
      <c r="G21" s="21" t="n">
        <v>365</v>
      </c>
      <c r="H21" s="21" t="n">
        <v>365</v>
      </c>
      <c r="I21" s="22" t="n">
        <v>365</v>
      </c>
      <c r="J21" s="22" t="n">
        <v>365</v>
      </c>
      <c r="K21" s="22" t="n">
        <v>365</v>
      </c>
      <c r="L21" s="22" t="n">
        <v>365</v>
      </c>
      <c r="M21" s="22" t="n">
        <v>365</v>
      </c>
      <c r="N21" s="22" t="n">
        <v>365</v>
      </c>
      <c r="O21" s="22" t="n">
        <v>365</v>
      </c>
      <c r="P21" s="22" t="n">
        <v>365</v>
      </c>
      <c r="Q21" s="22" t="n">
        <v>365</v>
      </c>
      <c r="R21" s="22" t="n">
        <v>365</v>
      </c>
    </row>
    <row r="24">
      <c r="A24" s="13" t="inlineStr">
        <is>
          <t>Income Statement</t>
        </is>
      </c>
      <c r="B24" s="14" t="n"/>
      <c r="C24" s="14" t="n"/>
      <c r="D24" s="14" t="n"/>
      <c r="E24" s="14" t="n"/>
      <c r="F24" s="14" t="n"/>
      <c r="G24" s="14" t="n"/>
      <c r="H24" s="14" t="n"/>
      <c r="I24" s="14" t="n"/>
      <c r="J24" s="14" t="n"/>
      <c r="K24" s="14" t="n"/>
      <c r="L24" s="14" t="n"/>
      <c r="M24" s="14" t="n"/>
      <c r="N24" s="14" t="n"/>
      <c r="O24" s="14" t="n"/>
      <c r="P24" s="14" t="n"/>
      <c r="Q24" s="14" t="n"/>
      <c r="R24" s="14" t="n"/>
      <c r="S24" s="14" t="n"/>
    </row>
    <row r="26">
      <c r="A26" s="2" t="inlineStr">
        <is>
          <t>Revenue</t>
        </is>
      </c>
      <c r="D26" s="4">
        <f>Data_Input!C5</f>
        <v/>
      </c>
      <c r="E26" s="4">
        <f>Data_Input!D5</f>
        <v/>
      </c>
      <c r="F26" s="4">
        <f>Data_Input!E5</f>
        <v/>
      </c>
      <c r="G26" s="4">
        <f>Data_Input!F5</f>
        <v/>
      </c>
      <c r="H26" s="4">
        <f>Data_Input!G5</f>
        <v/>
      </c>
      <c r="I26" s="23">
        <f>H26*(1+I8)</f>
        <v/>
      </c>
      <c r="J26" s="23">
        <f>I26*(1+J8)</f>
        <v/>
      </c>
      <c r="K26" s="23">
        <f>J26*(1+K8)</f>
        <v/>
      </c>
      <c r="L26" s="23">
        <f>K26*(1+L8)</f>
        <v/>
      </c>
      <c r="M26" s="23">
        <f>L26*(1+M8)</f>
        <v/>
      </c>
      <c r="N26" s="23">
        <f>M26*(1+N8)</f>
        <v/>
      </c>
      <c r="O26" s="23">
        <f>N26*(1+O8)</f>
        <v/>
      </c>
      <c r="P26" s="23">
        <f>O26*(1+P8)</f>
        <v/>
      </c>
      <c r="Q26" s="23">
        <f>P26*(1+Q8)</f>
        <v/>
      </c>
      <c r="R26" s="23">
        <f>Q26*(1+R8)</f>
        <v/>
      </c>
    </row>
    <row r="27">
      <c r="A27" s="3" t="inlineStr">
        <is>
          <t>Cost of Goods Sold (COGS)</t>
        </is>
      </c>
      <c r="D27" s="4">
        <f>Data_Input!C6</f>
        <v/>
      </c>
      <c r="E27" s="4">
        <f>Data_Input!D6</f>
        <v/>
      </c>
      <c r="F27" s="4">
        <f>Data_Input!E6</f>
        <v/>
      </c>
      <c r="G27" s="4">
        <f>Data_Input!F6</f>
        <v/>
      </c>
      <c r="H27" s="4">
        <f>Data_Input!G6</f>
        <v/>
      </c>
      <c r="I27" s="20">
        <f>I26*I9</f>
        <v/>
      </c>
      <c r="J27" s="20">
        <f>J26*J9</f>
        <v/>
      </c>
      <c r="K27" s="20">
        <f>K26*K9</f>
        <v/>
      </c>
      <c r="L27" s="20">
        <f>L26*L9</f>
        <v/>
      </c>
      <c r="M27" s="20">
        <f>M26*M9</f>
        <v/>
      </c>
      <c r="N27" s="20">
        <f>N26*N9</f>
        <v/>
      </c>
      <c r="O27" s="20">
        <f>O26*O9</f>
        <v/>
      </c>
      <c r="P27" s="20">
        <f>P26*P9</f>
        <v/>
      </c>
      <c r="Q27" s="20">
        <f>Q26*Q9</f>
        <v/>
      </c>
      <c r="R27" s="20">
        <f>R26*R9</f>
        <v/>
      </c>
    </row>
    <row r="28">
      <c r="A28" s="2" t="inlineStr">
        <is>
          <t>Gross Profit</t>
        </is>
      </c>
      <c r="D28" s="23">
        <f>D26-D27</f>
        <v/>
      </c>
      <c r="E28" s="23">
        <f>E26-E27</f>
        <v/>
      </c>
      <c r="F28" s="23">
        <f>F26-F27</f>
        <v/>
      </c>
      <c r="G28" s="23">
        <f>G26-G27</f>
        <v/>
      </c>
      <c r="H28" s="23">
        <f>H26-H27</f>
        <v/>
      </c>
      <c r="I28" s="23">
        <f>I26-I27</f>
        <v/>
      </c>
      <c r="J28" s="23">
        <f>J26-J27</f>
        <v/>
      </c>
      <c r="K28" s="23">
        <f>K26-K27</f>
        <v/>
      </c>
      <c r="L28" s="23">
        <f>L26-L27</f>
        <v/>
      </c>
      <c r="M28" s="23">
        <f>M26-M27</f>
        <v/>
      </c>
      <c r="N28" s="23">
        <f>N26-N27</f>
        <v/>
      </c>
      <c r="O28" s="23">
        <f>O26-O27</f>
        <v/>
      </c>
      <c r="P28" s="23">
        <f>P26-P27</f>
        <v/>
      </c>
      <c r="Q28" s="23">
        <f>Q26-Q27</f>
        <v/>
      </c>
      <c r="R28" s="23">
        <f>R26-R27</f>
        <v/>
      </c>
    </row>
    <row r="29">
      <c r="A29" s="2" t="inlineStr">
        <is>
          <t>Expenses</t>
        </is>
      </c>
    </row>
    <row r="30">
      <c r="A30" s="3" t="inlineStr">
        <is>
          <t>Research &amp; Development</t>
        </is>
      </c>
      <c r="D30" s="4">
        <f>Data_Input!C7</f>
        <v/>
      </c>
      <c r="E30" s="4">
        <f>Data_Input!D7</f>
        <v/>
      </c>
      <c r="F30" s="4">
        <f>Data_Input!E7</f>
        <v/>
      </c>
      <c r="G30" s="4">
        <f>Data_Input!F7</f>
        <v/>
      </c>
      <c r="H30" s="4">
        <f>Data_Input!G7</f>
        <v/>
      </c>
      <c r="I30" s="20">
        <f>I26*I10</f>
        <v/>
      </c>
      <c r="J30" s="20">
        <f>J26*J10</f>
        <v/>
      </c>
      <c r="K30" s="20">
        <f>K26*K10</f>
        <v/>
      </c>
      <c r="L30" s="20">
        <f>L26*L10</f>
        <v/>
      </c>
      <c r="M30" s="20">
        <f>M26*M10</f>
        <v/>
      </c>
      <c r="N30" s="20">
        <f>N26*N10</f>
        <v/>
      </c>
      <c r="O30" s="20">
        <f>O26*O10</f>
        <v/>
      </c>
      <c r="P30" s="20">
        <f>P26*P10</f>
        <v/>
      </c>
      <c r="Q30" s="20">
        <f>Q26*Q10</f>
        <v/>
      </c>
      <c r="R30" s="20">
        <f>R26*R10</f>
        <v/>
      </c>
    </row>
    <row r="31">
      <c r="A31" s="3" t="inlineStr">
        <is>
          <t>Marketing &amp; Sales + General &amp; Administrative</t>
        </is>
      </c>
      <c r="D31" s="4">
        <f>Data_Input!C8</f>
        <v/>
      </c>
      <c r="E31" s="4">
        <f>Data_Input!D8</f>
        <v/>
      </c>
      <c r="F31" s="4">
        <f>Data_Input!E8</f>
        <v/>
      </c>
      <c r="G31" s="4">
        <f>Data_Input!F8</f>
        <v/>
      </c>
      <c r="H31" s="4">
        <f>Data_Input!G8</f>
        <v/>
      </c>
      <c r="I31" s="20">
        <f>I11</f>
        <v/>
      </c>
      <c r="J31" s="20">
        <f>J11</f>
        <v/>
      </c>
      <c r="K31" s="20">
        <f>K11</f>
        <v/>
      </c>
      <c r="L31" s="20">
        <f>L11</f>
        <v/>
      </c>
      <c r="M31" s="20">
        <f>M11</f>
        <v/>
      </c>
      <c r="N31" s="20">
        <f>N11</f>
        <v/>
      </c>
      <c r="O31" s="20">
        <f>O11</f>
        <v/>
      </c>
      <c r="P31" s="20">
        <f>P11</f>
        <v/>
      </c>
      <c r="Q31" s="20">
        <f>Q11</f>
        <v/>
      </c>
      <c r="R31" s="20">
        <f>R11</f>
        <v/>
      </c>
    </row>
    <row r="32">
      <c r="A32" s="3" t="inlineStr">
        <is>
          <t>Depreciation &amp; Amortization</t>
        </is>
      </c>
      <c r="D32" s="4">
        <f>Data_Input!C9</f>
        <v/>
      </c>
      <c r="E32" s="4">
        <f>Data_Input!D9</f>
        <v/>
      </c>
      <c r="F32" s="4">
        <f>Data_Input!E9</f>
        <v/>
      </c>
      <c r="G32" s="4">
        <f>Data_Input!F9</f>
        <v/>
      </c>
      <c r="H32" s="4">
        <f>Data_Input!G9</f>
        <v/>
      </c>
      <c r="I32" s="20">
        <f>I12*I96</f>
        <v/>
      </c>
      <c r="J32" s="20">
        <f>J12*J96</f>
        <v/>
      </c>
      <c r="K32" s="20">
        <f>K12*K96</f>
        <v/>
      </c>
      <c r="L32" s="20">
        <f>L12*L96</f>
        <v/>
      </c>
      <c r="M32" s="20">
        <f>M12*M96</f>
        <v/>
      </c>
      <c r="N32" s="20">
        <f>N12*N96</f>
        <v/>
      </c>
      <c r="O32" s="20">
        <f>O12*O96</f>
        <v/>
      </c>
      <c r="P32" s="20">
        <f>P12*P96</f>
        <v/>
      </c>
      <c r="Q32" s="20">
        <f>Q12*Q96</f>
        <v/>
      </c>
      <c r="R32" s="20">
        <f>R12*R96</f>
        <v/>
      </c>
    </row>
    <row r="33">
      <c r="A33" s="3" t="inlineStr">
        <is>
          <t>Interest</t>
        </is>
      </c>
      <c r="D33" s="4">
        <f>Data_Input!C10</f>
        <v/>
      </c>
      <c r="E33" s="4">
        <f>Data_Input!D10</f>
        <v/>
      </c>
      <c r="F33" s="4">
        <f>Data_Input!E10</f>
        <v/>
      </c>
      <c r="G33" s="4">
        <f>Data_Input!F10</f>
        <v/>
      </c>
      <c r="H33" s="4">
        <f>Data_Input!G10</f>
        <v/>
      </c>
      <c r="I33" s="20">
        <f>I13*AVERAGE(I102,I104)</f>
        <v/>
      </c>
      <c r="J33" s="20">
        <f>J13*AVERAGE(J102,J104)</f>
        <v/>
      </c>
      <c r="K33" s="20">
        <f>K13*AVERAGE(K102,K104)</f>
        <v/>
      </c>
      <c r="L33" s="20">
        <f>L13*AVERAGE(L102,L104)</f>
        <v/>
      </c>
      <c r="M33" s="20">
        <f>M13*AVERAGE(M102,M104)</f>
        <v/>
      </c>
      <c r="N33" s="20">
        <f>N13*AVERAGE(N102,N104)</f>
        <v/>
      </c>
      <c r="O33" s="20">
        <f>O13*AVERAGE(O102,O104)</f>
        <v/>
      </c>
      <c r="P33" s="20">
        <f>P13*AVERAGE(P102,P104)</f>
        <v/>
      </c>
      <c r="Q33" s="20">
        <f>Q13*AVERAGE(Q102,Q104)</f>
        <v/>
      </c>
      <c r="R33" s="20">
        <f>R13*AVERAGE(R102,R104)</f>
        <v/>
      </c>
    </row>
    <row r="34">
      <c r="A34" s="2" t="inlineStr">
        <is>
          <t>Total Expenses</t>
        </is>
      </c>
      <c r="D34" s="24">
        <f>SUM(D30:D33)</f>
        <v/>
      </c>
      <c r="E34" s="24">
        <f>SUM(E30:E33)</f>
        <v/>
      </c>
      <c r="F34" s="24">
        <f>SUM(F30:F33)</f>
        <v/>
      </c>
      <c r="G34" s="24">
        <f>SUM(G30:G33)</f>
        <v/>
      </c>
      <c r="H34" s="24">
        <f>SUM(H30:H33)</f>
        <v/>
      </c>
      <c r="I34" s="24">
        <f>SUM(I30:I33)</f>
        <v/>
      </c>
      <c r="J34" s="24">
        <f>SUM(J30:J33)</f>
        <v/>
      </c>
      <c r="K34" s="24">
        <f>SUM(K30:K33)</f>
        <v/>
      </c>
      <c r="L34" s="24">
        <f>SUM(L30:L33)</f>
        <v/>
      </c>
      <c r="M34" s="24">
        <f>SUM(M30:M33)</f>
        <v/>
      </c>
      <c r="N34" s="24">
        <f>SUM(N30:N33)</f>
        <v/>
      </c>
      <c r="O34" s="24">
        <f>SUM(O30:O33)</f>
        <v/>
      </c>
      <c r="P34" s="24">
        <f>SUM(P30:P33)</f>
        <v/>
      </c>
      <c r="Q34" s="24">
        <f>SUM(Q30:Q33)</f>
        <v/>
      </c>
      <c r="R34" s="24">
        <f>SUM(R30:R33)</f>
        <v/>
      </c>
    </row>
    <row r="35">
      <c r="A35" s="2" t="inlineStr">
        <is>
          <t>Earnings Before Tax</t>
        </is>
      </c>
      <c r="D35" s="23">
        <f>D28-D34</f>
        <v/>
      </c>
      <c r="E35" s="23">
        <f>E28-E34</f>
        <v/>
      </c>
      <c r="F35" s="23">
        <f>F28-F34</f>
        <v/>
      </c>
      <c r="G35" s="23">
        <f>G28-G34</f>
        <v/>
      </c>
      <c r="H35" s="23">
        <f>H28-H34</f>
        <v/>
      </c>
      <c r="I35" s="23">
        <f>I28-I34</f>
        <v/>
      </c>
      <c r="J35" s="23">
        <f>J28-J34</f>
        <v/>
      </c>
      <c r="K35" s="23">
        <f>K28-K34</f>
        <v/>
      </c>
      <c r="L35" s="23">
        <f>L28-L34</f>
        <v/>
      </c>
      <c r="M35" s="23">
        <f>M28-M34</f>
        <v/>
      </c>
      <c r="N35" s="23">
        <f>N28-N34</f>
        <v/>
      </c>
      <c r="O35" s="23">
        <f>O28-O34</f>
        <v/>
      </c>
      <c r="P35" s="23">
        <f>P28-P34</f>
        <v/>
      </c>
      <c r="Q35" s="23">
        <f>Q28-Q34</f>
        <v/>
      </c>
      <c r="R35" s="23">
        <f>R28-R34</f>
        <v/>
      </c>
    </row>
    <row r="37">
      <c r="A37" s="3" t="inlineStr">
        <is>
          <t>Taxes</t>
        </is>
      </c>
      <c r="D37" s="4">
        <f>Data_Input!C11</f>
        <v/>
      </c>
      <c r="E37" s="4">
        <f>Data_Input!D11</f>
        <v/>
      </c>
      <c r="F37" s="4">
        <f>Data_Input!E11</f>
        <v/>
      </c>
      <c r="G37" s="4">
        <f>Data_Input!F11</f>
        <v/>
      </c>
      <c r="H37" s="4">
        <f>Data_Input!G11</f>
        <v/>
      </c>
      <c r="I37" s="20">
        <f>MAX(I35-I109,0)*I14</f>
        <v/>
      </c>
      <c r="J37" s="20">
        <f>MAX(J35-J109,0)*J14</f>
        <v/>
      </c>
      <c r="K37" s="20">
        <f>MAX(K35-K109,0)*K14</f>
        <v/>
      </c>
      <c r="L37" s="20">
        <f>MAX(L35-L109,0)*L14</f>
        <v/>
      </c>
      <c r="M37" s="20">
        <f>MAX(M35-M109,0)*M14</f>
        <v/>
      </c>
      <c r="N37" s="20">
        <f>MAX(N35-N109,0)*N14</f>
        <v/>
      </c>
      <c r="O37" s="20">
        <f>MAX(O35-O109,0)*O14</f>
        <v/>
      </c>
      <c r="P37" s="20">
        <f>MAX(P35-P109,0)*P14</f>
        <v/>
      </c>
      <c r="Q37" s="20">
        <f>MAX(Q35-Q109,0)*Q14</f>
        <v/>
      </c>
      <c r="R37" s="20">
        <f>MAX(R35-R109,0)*R14</f>
        <v/>
      </c>
    </row>
    <row r="38">
      <c r="A38" s="2" t="inlineStr">
        <is>
          <t>Net Earnings</t>
        </is>
      </c>
      <c r="D38" s="25">
        <f>D35-D37</f>
        <v/>
      </c>
      <c r="E38" s="25">
        <f>E35-E37</f>
        <v/>
      </c>
      <c r="F38" s="25">
        <f>F35-F37</f>
        <v/>
      </c>
      <c r="G38" s="25">
        <f>G35-G37</f>
        <v/>
      </c>
      <c r="H38" s="25">
        <f>H35-H37</f>
        <v/>
      </c>
      <c r="I38" s="25">
        <f>I35-I37</f>
        <v/>
      </c>
      <c r="J38" s="25">
        <f>J35-J37</f>
        <v/>
      </c>
      <c r="K38" s="25">
        <f>K35-K37</f>
        <v/>
      </c>
      <c r="L38" s="25">
        <f>L35-L37</f>
        <v/>
      </c>
      <c r="M38" s="25">
        <f>M35-M37</f>
        <v/>
      </c>
      <c r="N38" s="25">
        <f>N35-N37</f>
        <v/>
      </c>
      <c r="O38" s="25">
        <f>O35-O37</f>
        <v/>
      </c>
      <c r="P38" s="25">
        <f>P35-P37</f>
        <v/>
      </c>
      <c r="Q38" s="25">
        <f>Q35-Q37</f>
        <v/>
      </c>
      <c r="R38" s="25">
        <f>R35-R37</f>
        <v/>
      </c>
    </row>
    <row r="41">
      <c r="A41" s="13" t="inlineStr">
        <is>
          <t>Balance Sheet</t>
        </is>
      </c>
      <c r="B41" s="14" t="n"/>
      <c r="C41" s="14" t="n"/>
      <c r="D41" s="14" t="n"/>
      <c r="E41" s="14" t="n"/>
      <c r="F41" s="14" t="n"/>
      <c r="G41" s="14" t="n"/>
      <c r="H41" s="14" t="n"/>
      <c r="I41" s="14" t="n"/>
      <c r="J41" s="14" t="n"/>
      <c r="K41" s="14" t="n"/>
      <c r="L41" s="14" t="n"/>
      <c r="M41" s="14" t="n"/>
      <c r="N41" s="14" t="n"/>
      <c r="O41" s="14" t="n"/>
      <c r="P41" s="14" t="n"/>
      <c r="Q41" s="14" t="n"/>
      <c r="R41" s="14" t="n"/>
      <c r="S41" s="14" t="n"/>
    </row>
    <row r="43">
      <c r="A43" s="2" t="inlineStr">
        <is>
          <t>Assets</t>
        </is>
      </c>
    </row>
    <row r="44">
      <c r="A44" s="3" t="inlineStr">
        <is>
          <t>Cash</t>
        </is>
      </c>
      <c r="D44" s="4">
        <f>Data_Input!C13</f>
        <v/>
      </c>
      <c r="E44" s="4">
        <f>Data_Input!D13</f>
        <v/>
      </c>
      <c r="F44" s="4">
        <f>Data_Input!E13</f>
        <v/>
      </c>
      <c r="G44" s="4">
        <f>Data_Input!F13</f>
        <v/>
      </c>
      <c r="H44" s="4">
        <f>Data_Input!G13</f>
        <v/>
      </c>
      <c r="I44" s="20">
        <f>I82</f>
        <v/>
      </c>
      <c r="J44" s="20">
        <f>J82</f>
        <v/>
      </c>
      <c r="K44" s="20">
        <f>K82</f>
        <v/>
      </c>
      <c r="L44" s="20">
        <f>L82</f>
        <v/>
      </c>
      <c r="M44" s="20">
        <f>M82</f>
        <v/>
      </c>
      <c r="N44" s="20">
        <f>N82</f>
        <v/>
      </c>
      <c r="O44" s="20">
        <f>O82</f>
        <v/>
      </c>
      <c r="P44" s="20">
        <f>P82</f>
        <v/>
      </c>
      <c r="Q44" s="20">
        <f>Q82</f>
        <v/>
      </c>
      <c r="R44" s="20">
        <f>R82</f>
        <v/>
      </c>
    </row>
    <row r="45">
      <c r="A45" s="3" t="inlineStr">
        <is>
          <t>Accounts Receivable</t>
        </is>
      </c>
      <c r="D45" s="4">
        <f>Data_Input!C14</f>
        <v/>
      </c>
      <c r="E45" s="4">
        <f>Data_Input!D14</f>
        <v/>
      </c>
      <c r="F45" s="4">
        <f>Data_Input!E14</f>
        <v/>
      </c>
      <c r="G45" s="4">
        <f>Data_Input!F14</f>
        <v/>
      </c>
      <c r="H45" s="4">
        <f>Data_Input!G14</f>
        <v/>
      </c>
      <c r="I45" s="20">
        <f>I15/I21*I26</f>
        <v/>
      </c>
      <c r="J45" s="20">
        <f>J15/J21*J26</f>
        <v/>
      </c>
      <c r="K45" s="20">
        <f>K15/K21*K26</f>
        <v/>
      </c>
      <c r="L45" s="20">
        <f>L15/L21*L26</f>
        <v/>
      </c>
      <c r="M45" s="20">
        <f>M15/M21*M26</f>
        <v/>
      </c>
      <c r="N45" s="20">
        <f>N15/N21*N26</f>
        <v/>
      </c>
      <c r="O45" s="20">
        <f>O15/O21*O26</f>
        <v/>
      </c>
      <c r="P45" s="20">
        <f>P15/P21*P26</f>
        <v/>
      </c>
      <c r="Q45" s="20">
        <f>Q15/Q21*Q26</f>
        <v/>
      </c>
      <c r="R45" s="20">
        <f>R15/R21*R26</f>
        <v/>
      </c>
    </row>
    <row r="46">
      <c r="A46" s="3" t="inlineStr">
        <is>
          <t>Inventory</t>
        </is>
      </c>
      <c r="D46" s="4">
        <f>Data_Input!C15</f>
        <v/>
      </c>
      <c r="E46" s="4">
        <f>Data_Input!D15</f>
        <v/>
      </c>
      <c r="F46" s="4">
        <f>Data_Input!E15</f>
        <v/>
      </c>
      <c r="G46" s="4">
        <f>Data_Input!F15</f>
        <v/>
      </c>
      <c r="H46" s="4">
        <f>Data_Input!G15</f>
        <v/>
      </c>
      <c r="I46" s="20">
        <f>I16/I21*I27</f>
        <v/>
      </c>
      <c r="J46" s="20">
        <f>J16/J21*J27</f>
        <v/>
      </c>
      <c r="K46" s="20">
        <f>K16/K21*K27</f>
        <v/>
      </c>
      <c r="L46" s="20">
        <f>L16/L21*L27</f>
        <v/>
      </c>
      <c r="M46" s="20">
        <f>M16/M21*M27</f>
        <v/>
      </c>
      <c r="N46" s="20">
        <f>N16/N21*N27</f>
        <v/>
      </c>
      <c r="O46" s="20">
        <f>O16/O21*O27</f>
        <v/>
      </c>
      <c r="P46" s="20">
        <f>P16/P21*P27</f>
        <v/>
      </c>
      <c r="Q46" s="20">
        <f>Q16/Q21*Q27</f>
        <v/>
      </c>
      <c r="R46" s="20">
        <f>R16/R21*R27</f>
        <v/>
      </c>
    </row>
    <row r="47">
      <c r="A47" s="3" t="inlineStr">
        <is>
          <t>Property &amp; Equipment</t>
        </is>
      </c>
      <c r="D47" s="4">
        <f>Data_Input!C16</f>
        <v/>
      </c>
      <c r="E47" s="4">
        <f>Data_Input!D16</f>
        <v/>
      </c>
      <c r="F47" s="4">
        <f>Data_Input!E16</f>
        <v/>
      </c>
      <c r="G47" s="4">
        <f>Data_Input!F16</f>
        <v/>
      </c>
      <c r="H47" s="4">
        <f>Data_Input!G16</f>
        <v/>
      </c>
      <c r="I47" s="20">
        <f>I99</f>
        <v/>
      </c>
      <c r="J47" s="20">
        <f>J99</f>
        <v/>
      </c>
      <c r="K47" s="20">
        <f>K99</f>
        <v/>
      </c>
      <c r="L47" s="20">
        <f>L99</f>
        <v/>
      </c>
      <c r="M47" s="20">
        <f>M99</f>
        <v/>
      </c>
      <c r="N47" s="20">
        <f>N99</f>
        <v/>
      </c>
      <c r="O47" s="20">
        <f>O99</f>
        <v/>
      </c>
      <c r="P47" s="20">
        <f>P99</f>
        <v/>
      </c>
      <c r="Q47" s="20">
        <f>Q99</f>
        <v/>
      </c>
      <c r="R47" s="20">
        <f>R99</f>
        <v/>
      </c>
    </row>
    <row r="48">
      <c r="A48" s="2" t="inlineStr">
        <is>
          <t>Total Assets</t>
        </is>
      </c>
      <c r="D48" s="24">
        <f>SUM(D44:D47)</f>
        <v/>
      </c>
      <c r="E48" s="24">
        <f>SUM(E44:E47)</f>
        <v/>
      </c>
      <c r="F48" s="24">
        <f>SUM(F44:F47)</f>
        <v/>
      </c>
      <c r="G48" s="24">
        <f>SUM(G44:G47)</f>
        <v/>
      </c>
      <c r="H48" s="24">
        <f>SUM(H44:H47)</f>
        <v/>
      </c>
      <c r="I48" s="24">
        <f>SUM(I44:I47)</f>
        <v/>
      </c>
      <c r="J48" s="24">
        <f>SUM(J44:J47)</f>
        <v/>
      </c>
      <c r="K48" s="24">
        <f>SUM(K44:K47)</f>
        <v/>
      </c>
      <c r="L48" s="24">
        <f>SUM(L44:L47)</f>
        <v/>
      </c>
      <c r="M48" s="24">
        <f>SUM(M44:M47)</f>
        <v/>
      </c>
      <c r="N48" s="24">
        <f>SUM(N44:N47)</f>
        <v/>
      </c>
      <c r="O48" s="24">
        <f>SUM(O44:O47)</f>
        <v/>
      </c>
      <c r="P48" s="24">
        <f>SUM(P44:P47)</f>
        <v/>
      </c>
      <c r="Q48" s="24">
        <f>SUM(Q44:Q47)</f>
        <v/>
      </c>
      <c r="R48" s="24">
        <f>SUM(R44:R47)</f>
        <v/>
      </c>
    </row>
    <row r="50">
      <c r="A50" s="2" t="inlineStr">
        <is>
          <t>Liabilities</t>
        </is>
      </c>
    </row>
    <row r="51">
      <c r="A51" s="3" t="inlineStr">
        <is>
          <t>Accounts Payable</t>
        </is>
      </c>
      <c r="D51" s="4">
        <f>Data_Input!C17</f>
        <v/>
      </c>
      <c r="E51" s="4">
        <f>Data_Input!D17</f>
        <v/>
      </c>
      <c r="F51" s="4">
        <f>Data_Input!E17</f>
        <v/>
      </c>
      <c r="G51" s="4">
        <f>Data_Input!F17</f>
        <v/>
      </c>
      <c r="H51" s="4">
        <f>Data_Input!G17</f>
        <v/>
      </c>
      <c r="I51" s="20">
        <f>I17/I21*I27</f>
        <v/>
      </c>
      <c r="J51" s="20">
        <f>J17/J21*J27</f>
        <v/>
      </c>
      <c r="K51" s="20">
        <f>K17/K21*K27</f>
        <v/>
      </c>
      <c r="L51" s="20">
        <f>L17/L21*L27</f>
        <v/>
      </c>
      <c r="M51" s="20">
        <f>M17/M21*M27</f>
        <v/>
      </c>
      <c r="N51" s="20">
        <f>N17/N21*N27</f>
        <v/>
      </c>
      <c r="O51" s="20">
        <f>O17/O21*O27</f>
        <v/>
      </c>
      <c r="P51" s="20">
        <f>P17/P21*P27</f>
        <v/>
      </c>
      <c r="Q51" s="20">
        <f>Q17/Q21*Q27</f>
        <v/>
      </c>
      <c r="R51" s="20">
        <f>R17/R21*R27</f>
        <v/>
      </c>
    </row>
    <row r="52">
      <c r="A52" s="3" t="inlineStr">
        <is>
          <t>Debt</t>
        </is>
      </c>
      <c r="D52" s="4">
        <f>Data_Input!C18</f>
        <v/>
      </c>
      <c r="E52" s="4">
        <f>Data_Input!D18</f>
        <v/>
      </c>
      <c r="F52" s="4">
        <f>Data_Input!E18</f>
        <v/>
      </c>
      <c r="G52" s="4">
        <f>Data_Input!F18</f>
        <v/>
      </c>
      <c r="H52" s="4">
        <f>Data_Input!G18</f>
        <v/>
      </c>
      <c r="I52" s="20">
        <f>I104</f>
        <v/>
      </c>
      <c r="J52" s="20">
        <f>J104</f>
        <v/>
      </c>
      <c r="K52" s="20">
        <f>K104</f>
        <v/>
      </c>
      <c r="L52" s="20">
        <f>L104</f>
        <v/>
      </c>
      <c r="M52" s="20">
        <f>M104</f>
        <v/>
      </c>
      <c r="N52" s="20">
        <f>N104</f>
        <v/>
      </c>
      <c r="O52" s="20">
        <f>O104</f>
        <v/>
      </c>
      <c r="P52" s="20">
        <f>P104</f>
        <v/>
      </c>
      <c r="Q52" s="20">
        <f>Q104</f>
        <v/>
      </c>
      <c r="R52" s="20">
        <f>R104</f>
        <v/>
      </c>
    </row>
    <row r="53">
      <c r="A53" s="2" t="inlineStr">
        <is>
          <t>Total Liabilities</t>
        </is>
      </c>
      <c r="D53" s="24">
        <f>D51+D52</f>
        <v/>
      </c>
      <c r="E53" s="24">
        <f>E51+E52</f>
        <v/>
      </c>
      <c r="F53" s="24">
        <f>F51+F52</f>
        <v/>
      </c>
      <c r="G53" s="24">
        <f>G51+G52</f>
        <v/>
      </c>
      <c r="H53" s="24">
        <f>H51+H52</f>
        <v/>
      </c>
      <c r="I53" s="24">
        <f>I51+I52</f>
        <v/>
      </c>
      <c r="J53" s="24">
        <f>J51+J52</f>
        <v/>
      </c>
      <c r="K53" s="24">
        <f>K51+K52</f>
        <v/>
      </c>
      <c r="L53" s="24">
        <f>L51+L52</f>
        <v/>
      </c>
      <c r="M53" s="24">
        <f>M51+M52</f>
        <v/>
      </c>
      <c r="N53" s="24">
        <f>N51+N52</f>
        <v/>
      </c>
      <c r="O53" s="24">
        <f>O51+O52</f>
        <v/>
      </c>
      <c r="P53" s="24">
        <f>P51+P52</f>
        <v/>
      </c>
      <c r="Q53" s="24">
        <f>Q51+Q52</f>
        <v/>
      </c>
      <c r="R53" s="24">
        <f>R51+R52</f>
        <v/>
      </c>
    </row>
    <row r="54">
      <c r="A54" s="2" t="inlineStr">
        <is>
          <t>Shareholder's Equity</t>
        </is>
      </c>
    </row>
    <row r="55">
      <c r="A55" s="3" t="inlineStr">
        <is>
          <t>Equity Capital</t>
        </is>
      </c>
      <c r="D55" s="4">
        <f>Data_Input!C19</f>
        <v/>
      </c>
      <c r="E55" s="4">
        <f>Data_Input!D19</f>
        <v/>
      </c>
      <c r="F55" s="4">
        <f>Data_Input!E19</f>
        <v/>
      </c>
      <c r="G55" s="4">
        <f>Data_Input!F19</f>
        <v/>
      </c>
      <c r="H55" s="4">
        <f>Data_Input!G19</f>
        <v/>
      </c>
      <c r="I55" s="20">
        <f>H55+I20</f>
        <v/>
      </c>
      <c r="J55" s="20">
        <f>I55+J20</f>
        <v/>
      </c>
      <c r="K55" s="20">
        <f>J55+K20</f>
        <v/>
      </c>
      <c r="L55" s="20">
        <f>K55+L20</f>
        <v/>
      </c>
      <c r="M55" s="20">
        <f>L55+M20</f>
        <v/>
      </c>
      <c r="N55" s="20">
        <f>M55+N20</f>
        <v/>
      </c>
      <c r="O55" s="20">
        <f>N55+O20</f>
        <v/>
      </c>
      <c r="P55" s="20">
        <f>O55+P20</f>
        <v/>
      </c>
      <c r="Q55" s="20">
        <f>P55+Q20</f>
        <v/>
      </c>
      <c r="R55" s="20">
        <f>Q55+R20</f>
        <v/>
      </c>
    </row>
    <row r="56">
      <c r="A56" s="3" t="inlineStr">
        <is>
          <t>Retained Earnings</t>
        </is>
      </c>
      <c r="D56" s="4">
        <f>Data_Input!C20</f>
        <v/>
      </c>
      <c r="E56" s="4">
        <f>Data_Input!D20</f>
        <v/>
      </c>
      <c r="F56" s="4">
        <f>Data_Input!E20</f>
        <v/>
      </c>
      <c r="G56" s="4">
        <f>Data_Input!F20</f>
        <v/>
      </c>
      <c r="H56" s="4">
        <f>Data_Input!G20</f>
        <v/>
      </c>
      <c r="I56" s="20">
        <f>H56+I38</f>
        <v/>
      </c>
      <c r="J56" s="20">
        <f>I56+J38</f>
        <v/>
      </c>
      <c r="K56" s="20">
        <f>J56+K38</f>
        <v/>
      </c>
      <c r="L56" s="20">
        <f>K56+L38</f>
        <v/>
      </c>
      <c r="M56" s="20">
        <f>L56+M38</f>
        <v/>
      </c>
      <c r="N56" s="20">
        <f>M56+N38</f>
        <v/>
      </c>
      <c r="O56" s="20">
        <f>N56+O38</f>
        <v/>
      </c>
      <c r="P56" s="20">
        <f>O56+P38</f>
        <v/>
      </c>
      <c r="Q56" s="20">
        <f>P56+Q38</f>
        <v/>
      </c>
      <c r="R56" s="20">
        <f>Q56+R38</f>
        <v/>
      </c>
    </row>
    <row r="57">
      <c r="A57" s="2" t="inlineStr">
        <is>
          <t>Shareholder's Equity</t>
        </is>
      </c>
      <c r="D57" s="24">
        <f>D55+D56</f>
        <v/>
      </c>
      <c r="E57" s="24">
        <f>E55+E56</f>
        <v/>
      </c>
      <c r="F57" s="24">
        <f>F55+F56</f>
        <v/>
      </c>
      <c r="G57" s="24">
        <f>G55+G56</f>
        <v/>
      </c>
      <c r="H57" s="24">
        <f>H55+H56</f>
        <v/>
      </c>
      <c r="I57" s="24">
        <f>I55+I56</f>
        <v/>
      </c>
      <c r="J57" s="24">
        <f>J55+J56</f>
        <v/>
      </c>
      <c r="K57" s="24">
        <f>K55+K56</f>
        <v/>
      </c>
      <c r="L57" s="24">
        <f>L55+L56</f>
        <v/>
      </c>
      <c r="M57" s="24">
        <f>M55+M56</f>
        <v/>
      </c>
      <c r="N57" s="24">
        <f>N55+N56</f>
        <v/>
      </c>
      <c r="O57" s="24">
        <f>O55+O56</f>
        <v/>
      </c>
      <c r="P57" s="24">
        <f>P55+P56</f>
        <v/>
      </c>
      <c r="Q57" s="24">
        <f>Q55+Q56</f>
        <v/>
      </c>
      <c r="R57" s="24">
        <f>R55+R56</f>
        <v/>
      </c>
    </row>
    <row r="58">
      <c r="A58" s="2" t="inlineStr">
        <is>
          <t>Total Liabilities &amp; Shareholder's Equity</t>
        </is>
      </c>
      <c r="D58" s="25">
        <f>D53+D57</f>
        <v/>
      </c>
      <c r="E58" s="25">
        <f>E53+E57</f>
        <v/>
      </c>
      <c r="F58" s="25">
        <f>F53+F57</f>
        <v/>
      </c>
      <c r="G58" s="25">
        <f>G53+G57</f>
        <v/>
      </c>
      <c r="H58" s="25">
        <f>H53+H57</f>
        <v/>
      </c>
      <c r="I58" s="25">
        <f>I53+I57</f>
        <v/>
      </c>
      <c r="J58" s="25">
        <f>J53+J57</f>
        <v/>
      </c>
      <c r="K58" s="25">
        <f>K53+K57</f>
        <v/>
      </c>
      <c r="L58" s="25">
        <f>L53+L57</f>
        <v/>
      </c>
      <c r="M58" s="25">
        <f>M53+M57</f>
        <v/>
      </c>
      <c r="N58" s="25">
        <f>N53+N57</f>
        <v/>
      </c>
      <c r="O58" s="25">
        <f>O53+O57</f>
        <v/>
      </c>
      <c r="P58" s="25">
        <f>P53+P57</f>
        <v/>
      </c>
      <c r="Q58" s="25">
        <f>Q53+Q57</f>
        <v/>
      </c>
      <c r="R58" s="25">
        <f>R53+R57</f>
        <v/>
      </c>
    </row>
    <row r="60">
      <c r="A60" s="9" t="inlineStr">
        <is>
          <t>Check</t>
        </is>
      </c>
      <c r="D60" s="26">
        <f>D58-D48</f>
        <v/>
      </c>
      <c r="E60" s="26">
        <f>E58-E48</f>
        <v/>
      </c>
      <c r="F60" s="26">
        <f>F58-F48</f>
        <v/>
      </c>
      <c r="G60" s="26">
        <f>G58-G48</f>
        <v/>
      </c>
      <c r="H60" s="26">
        <f>H58-H48</f>
        <v/>
      </c>
      <c r="I60" s="26">
        <f>I58-I48</f>
        <v/>
      </c>
      <c r="J60" s="26">
        <f>J58-J48</f>
        <v/>
      </c>
      <c r="K60" s="26">
        <f>K58-K48</f>
        <v/>
      </c>
      <c r="L60" s="26">
        <f>L58-L48</f>
        <v/>
      </c>
      <c r="M60" s="26">
        <f>M58-M48</f>
        <v/>
      </c>
      <c r="N60" s="26">
        <f>N58-N48</f>
        <v/>
      </c>
      <c r="O60" s="26">
        <f>O58-O48</f>
        <v/>
      </c>
      <c r="P60" s="26">
        <f>P58-P48</f>
        <v/>
      </c>
      <c r="Q60" s="26">
        <f>Q58-Q48</f>
        <v/>
      </c>
      <c r="R60" s="26">
        <f>R58-R48</f>
        <v/>
      </c>
    </row>
    <row r="63">
      <c r="A63" s="13" t="inlineStr">
        <is>
          <t>Cash Flow Statement</t>
        </is>
      </c>
      <c r="B63" s="14" t="n"/>
      <c r="C63" s="14" t="n"/>
      <c r="D63" s="14" t="n"/>
      <c r="E63" s="14" t="n"/>
      <c r="F63" s="14" t="n"/>
      <c r="G63" s="14" t="n"/>
      <c r="H63" s="14" t="n"/>
      <c r="I63" s="14" t="n"/>
      <c r="J63" s="14" t="n"/>
      <c r="K63" s="14" t="n"/>
      <c r="L63" s="14" t="n"/>
      <c r="M63" s="14" t="n"/>
      <c r="N63" s="14" t="n"/>
      <c r="O63" s="14" t="n"/>
      <c r="P63" s="14" t="n"/>
      <c r="Q63" s="14" t="n"/>
      <c r="R63" s="14" t="n"/>
      <c r="S63" s="14" t="n"/>
    </row>
    <row r="65">
      <c r="A65" s="2" t="inlineStr">
        <is>
          <t>Operating Cash Flow</t>
        </is>
      </c>
    </row>
    <row r="66">
      <c r="A66" s="3" t="inlineStr">
        <is>
          <t>Net Earnings</t>
        </is>
      </c>
      <c r="E66" s="20">
        <f>E38</f>
        <v/>
      </c>
      <c r="F66" s="20">
        <f>F38</f>
        <v/>
      </c>
      <c r="G66" s="20">
        <f>G38</f>
        <v/>
      </c>
      <c r="H66" s="20">
        <f>H38</f>
        <v/>
      </c>
      <c r="I66" s="20">
        <f>I38</f>
        <v/>
      </c>
      <c r="J66" s="20">
        <f>J38</f>
        <v/>
      </c>
      <c r="K66" s="20">
        <f>K38</f>
        <v/>
      </c>
      <c r="L66" s="20">
        <f>L38</f>
        <v/>
      </c>
      <c r="M66" s="20">
        <f>M38</f>
        <v/>
      </c>
      <c r="N66" s="20">
        <f>N38</f>
        <v/>
      </c>
      <c r="O66" s="20">
        <f>O38</f>
        <v/>
      </c>
      <c r="P66" s="20">
        <f>P38</f>
        <v/>
      </c>
      <c r="Q66" s="20">
        <f>Q38</f>
        <v/>
      </c>
      <c r="R66" s="20">
        <f>R38</f>
        <v/>
      </c>
    </row>
    <row r="67">
      <c r="A67" s="3" t="inlineStr">
        <is>
          <t>Plus: Depreciation &amp; Amortization</t>
        </is>
      </c>
      <c r="E67" s="20">
        <f>E32</f>
        <v/>
      </c>
      <c r="F67" s="20">
        <f>F32</f>
        <v/>
      </c>
      <c r="G67" s="20">
        <f>G32</f>
        <v/>
      </c>
      <c r="H67" s="20">
        <f>H32</f>
        <v/>
      </c>
      <c r="I67" s="20">
        <f>I32</f>
        <v/>
      </c>
      <c r="J67" s="20">
        <f>J32</f>
        <v/>
      </c>
      <c r="K67" s="20">
        <f>K32</f>
        <v/>
      </c>
      <c r="L67" s="20">
        <f>L32</f>
        <v/>
      </c>
      <c r="M67" s="20">
        <f>M32</f>
        <v/>
      </c>
      <c r="N67" s="20">
        <f>N32</f>
        <v/>
      </c>
      <c r="O67" s="20">
        <f>O32</f>
        <v/>
      </c>
      <c r="P67" s="20">
        <f>P32</f>
        <v/>
      </c>
      <c r="Q67" s="20">
        <f>Q32</f>
        <v/>
      </c>
      <c r="R67" s="20">
        <f>R32</f>
        <v/>
      </c>
    </row>
    <row r="68">
      <c r="A68" s="3" t="inlineStr">
        <is>
          <t>Less: Changes in Working Capital</t>
        </is>
      </c>
      <c r="E68" s="20">
        <f>E93</f>
        <v/>
      </c>
      <c r="F68" s="20">
        <f>F93</f>
        <v/>
      </c>
      <c r="G68" s="20">
        <f>G93</f>
        <v/>
      </c>
      <c r="H68" s="20">
        <f>H93</f>
        <v/>
      </c>
      <c r="I68" s="20">
        <f>I93</f>
        <v/>
      </c>
      <c r="J68" s="20">
        <f>J93</f>
        <v/>
      </c>
      <c r="K68" s="20">
        <f>K93</f>
        <v/>
      </c>
      <c r="L68" s="20">
        <f>L93</f>
        <v/>
      </c>
      <c r="M68" s="20">
        <f>M93</f>
        <v/>
      </c>
      <c r="N68" s="20">
        <f>N93</f>
        <v/>
      </c>
      <c r="O68" s="20">
        <f>O93</f>
        <v/>
      </c>
      <c r="P68" s="20">
        <f>P93</f>
        <v/>
      </c>
      <c r="Q68" s="20">
        <f>Q93</f>
        <v/>
      </c>
      <c r="R68" s="20">
        <f>R93</f>
        <v/>
      </c>
    </row>
    <row r="69">
      <c r="A69" s="2" t="inlineStr">
        <is>
          <t>Cash from Operations</t>
        </is>
      </c>
      <c r="E69" s="24">
        <f>E66+E67-E68</f>
        <v/>
      </c>
      <c r="F69" s="24">
        <f>F66+F67-F68</f>
        <v/>
      </c>
      <c r="G69" s="24">
        <f>G66+G67-G68</f>
        <v/>
      </c>
      <c r="H69" s="24">
        <f>H66+H67-H68</f>
        <v/>
      </c>
      <c r="I69" s="24">
        <f>I66+I67-I68</f>
        <v/>
      </c>
      <c r="J69" s="24">
        <f>J66+J67-J68</f>
        <v/>
      </c>
      <c r="K69" s="24">
        <f>K66+K67-K68</f>
        <v/>
      </c>
      <c r="L69" s="24">
        <f>L66+L67-L68</f>
        <v/>
      </c>
      <c r="M69" s="24">
        <f>M66+M67-M68</f>
        <v/>
      </c>
      <c r="N69" s="24">
        <f>N66+N67-N68</f>
        <v/>
      </c>
      <c r="O69" s="24">
        <f>O66+O67-O68</f>
        <v/>
      </c>
      <c r="P69" s="24">
        <f>P66+P67-P68</f>
        <v/>
      </c>
      <c r="Q69" s="24">
        <f>Q66+Q67-Q68</f>
        <v/>
      </c>
      <c r="R69" s="24">
        <f>R66+R67-R68</f>
        <v/>
      </c>
    </row>
    <row r="71">
      <c r="A71" s="2" t="inlineStr">
        <is>
          <t>Investing Cash Flow</t>
        </is>
      </c>
    </row>
    <row r="72">
      <c r="A72" s="3" t="inlineStr">
        <is>
          <t>Investments in Property &amp; Equipment</t>
        </is>
      </c>
      <c r="E72" s="20">
        <f>E97</f>
        <v/>
      </c>
      <c r="F72" s="20">
        <f>F97</f>
        <v/>
      </c>
      <c r="G72" s="20">
        <f>G97</f>
        <v/>
      </c>
      <c r="H72" s="20">
        <f>H97</f>
        <v/>
      </c>
      <c r="I72" s="20">
        <f>I18</f>
        <v/>
      </c>
      <c r="J72" s="20">
        <f>J18</f>
        <v/>
      </c>
      <c r="K72" s="20">
        <f>K18</f>
        <v/>
      </c>
      <c r="L72" s="20">
        <f>L18</f>
        <v/>
      </c>
      <c r="M72" s="20">
        <f>M18</f>
        <v/>
      </c>
      <c r="N72" s="20">
        <f>N18</f>
        <v/>
      </c>
      <c r="O72" s="20">
        <f>O18</f>
        <v/>
      </c>
      <c r="P72" s="20">
        <f>P18</f>
        <v/>
      </c>
      <c r="Q72" s="20">
        <f>Q18</f>
        <v/>
      </c>
      <c r="R72" s="20">
        <f>R18</f>
        <v/>
      </c>
    </row>
    <row r="73">
      <c r="A73" s="2" t="inlineStr">
        <is>
          <t>Cash from Investing</t>
        </is>
      </c>
      <c r="E73" s="24">
        <f>E72</f>
        <v/>
      </c>
      <c r="F73" s="24">
        <f>F72</f>
        <v/>
      </c>
      <c r="G73" s="24">
        <f>G72</f>
        <v/>
      </c>
      <c r="H73" s="24">
        <f>H72</f>
        <v/>
      </c>
      <c r="I73" s="24">
        <f>I72</f>
        <v/>
      </c>
      <c r="J73" s="24">
        <f>J72</f>
        <v/>
      </c>
      <c r="K73" s="24">
        <f>K72</f>
        <v/>
      </c>
      <c r="L73" s="24">
        <f>L72</f>
        <v/>
      </c>
      <c r="M73" s="24">
        <f>M72</f>
        <v/>
      </c>
      <c r="N73" s="24">
        <f>N72</f>
        <v/>
      </c>
      <c r="O73" s="24">
        <f>O72</f>
        <v/>
      </c>
      <c r="P73" s="24">
        <f>P72</f>
        <v/>
      </c>
      <c r="Q73" s="24">
        <f>Q72</f>
        <v/>
      </c>
      <c r="R73" s="24">
        <f>R72</f>
        <v/>
      </c>
    </row>
    <row r="75">
      <c r="A75" s="2" t="inlineStr">
        <is>
          <t>Financing Cash Flow</t>
        </is>
      </c>
    </row>
    <row r="76">
      <c r="A76" s="3" t="inlineStr">
        <is>
          <t>Issuance (repayment) of debt</t>
        </is>
      </c>
      <c r="E76" s="20">
        <f>E103</f>
        <v/>
      </c>
      <c r="F76" s="20">
        <f>F103</f>
        <v/>
      </c>
      <c r="G76" s="20">
        <f>G103</f>
        <v/>
      </c>
      <c r="H76" s="20">
        <f>H103</f>
        <v/>
      </c>
      <c r="I76" s="20">
        <f>I19</f>
        <v/>
      </c>
      <c r="J76" s="20">
        <f>J19</f>
        <v/>
      </c>
      <c r="K76" s="20">
        <f>K19</f>
        <v/>
      </c>
      <c r="L76" s="20">
        <f>L19</f>
        <v/>
      </c>
      <c r="M76" s="20">
        <f>M19</f>
        <v/>
      </c>
      <c r="N76" s="20">
        <f>N19</f>
        <v/>
      </c>
      <c r="O76" s="20">
        <f>O19</f>
        <v/>
      </c>
      <c r="P76" s="20">
        <f>P19</f>
        <v/>
      </c>
      <c r="Q76" s="20">
        <f>Q19</f>
        <v/>
      </c>
      <c r="R76" s="20">
        <f>R19</f>
        <v/>
      </c>
    </row>
    <row r="77">
      <c r="A77" s="3" t="inlineStr">
        <is>
          <t>Issuance (repayment) of equity</t>
        </is>
      </c>
      <c r="E77" s="20">
        <f>Data_Input!D24</f>
        <v/>
      </c>
      <c r="F77" s="20">
        <f>Data_Input!E24</f>
        <v/>
      </c>
      <c r="G77" s="20">
        <f>Data_Input!F24</f>
        <v/>
      </c>
      <c r="H77" s="20">
        <f>Data_Input!G24</f>
        <v/>
      </c>
      <c r="I77" s="20">
        <f>I20</f>
        <v/>
      </c>
      <c r="J77" s="20">
        <f>J20</f>
        <v/>
      </c>
      <c r="K77" s="20">
        <f>K20</f>
        <v/>
      </c>
      <c r="L77" s="20">
        <f>L20</f>
        <v/>
      </c>
      <c r="M77" s="20">
        <f>M20</f>
        <v/>
      </c>
      <c r="N77" s="20">
        <f>N20</f>
        <v/>
      </c>
      <c r="O77" s="20">
        <f>O20</f>
        <v/>
      </c>
      <c r="P77" s="20">
        <f>P20</f>
        <v/>
      </c>
      <c r="Q77" s="20">
        <f>Q20</f>
        <v/>
      </c>
      <c r="R77" s="20">
        <f>R20</f>
        <v/>
      </c>
    </row>
    <row r="78">
      <c r="A78" s="2" t="inlineStr">
        <is>
          <t>Cash from Financing</t>
        </is>
      </c>
      <c r="E78" s="24">
        <f>E76+E77</f>
        <v/>
      </c>
      <c r="F78" s="24">
        <f>F76+F77</f>
        <v/>
      </c>
      <c r="G78" s="24">
        <f>G76+G77</f>
        <v/>
      </c>
      <c r="H78" s="24">
        <f>H76+H77</f>
        <v/>
      </c>
      <c r="I78" s="24">
        <f>I76+I77</f>
        <v/>
      </c>
      <c r="J78" s="24">
        <f>J76+J77</f>
        <v/>
      </c>
      <c r="K78" s="24">
        <f>K76+K77</f>
        <v/>
      </c>
      <c r="L78" s="24">
        <f>L76+L77</f>
        <v/>
      </c>
      <c r="M78" s="24">
        <f>M76+M77</f>
        <v/>
      </c>
      <c r="N78" s="24">
        <f>N76+N77</f>
        <v/>
      </c>
      <c r="O78" s="24">
        <f>O76+O77</f>
        <v/>
      </c>
      <c r="P78" s="24">
        <f>P76+P77</f>
        <v/>
      </c>
      <c r="Q78" s="24">
        <f>Q76+Q77</f>
        <v/>
      </c>
      <c r="R78" s="24">
        <f>R76+R77</f>
        <v/>
      </c>
    </row>
    <row r="80">
      <c r="A80" s="3" t="inlineStr">
        <is>
          <t>Net Increase (decrease) in Cash</t>
        </is>
      </c>
      <c r="E80" s="20">
        <f>E69-E73+E78</f>
        <v/>
      </c>
      <c r="F80" s="20">
        <f>F69-F73+F78</f>
        <v/>
      </c>
      <c r="G80" s="20">
        <f>G69-G73+G78</f>
        <v/>
      </c>
      <c r="H80" s="20">
        <f>H69-H73+H78</f>
        <v/>
      </c>
      <c r="I80" s="20">
        <f>I69-I73+I78</f>
        <v/>
      </c>
      <c r="J80" s="20">
        <f>J69-J73+J78</f>
        <v/>
      </c>
      <c r="K80" s="20">
        <f>K69-K73+K78</f>
        <v/>
      </c>
      <c r="L80" s="20">
        <f>L69-L73+L78</f>
        <v/>
      </c>
      <c r="M80" s="20">
        <f>M69-M73+M78</f>
        <v/>
      </c>
      <c r="N80" s="20">
        <f>N69-N73+N78</f>
        <v/>
      </c>
      <c r="O80" s="20">
        <f>O69-O73+O78</f>
        <v/>
      </c>
      <c r="P80" s="20">
        <f>P69-P73+P78</f>
        <v/>
      </c>
      <c r="Q80" s="20">
        <f>Q69-Q73+Q78</f>
        <v/>
      </c>
      <c r="R80" s="20">
        <f>R69-R73+R78</f>
        <v/>
      </c>
    </row>
    <row r="81">
      <c r="A81" s="3" t="inlineStr">
        <is>
          <t>Opening Cash Balance</t>
        </is>
      </c>
      <c r="E81" s="20">
        <f>D44</f>
        <v/>
      </c>
      <c r="F81" s="20">
        <f>E44</f>
        <v/>
      </c>
      <c r="G81" s="20">
        <f>F44</f>
        <v/>
      </c>
      <c r="H81" s="20">
        <f>G44</f>
        <v/>
      </c>
      <c r="I81" s="20">
        <f>H44</f>
        <v/>
      </c>
      <c r="J81" s="20">
        <f>I44</f>
        <v/>
      </c>
      <c r="K81" s="20">
        <f>J44</f>
        <v/>
      </c>
      <c r="L81" s="20">
        <f>K44</f>
        <v/>
      </c>
      <c r="M81" s="20">
        <f>L44</f>
        <v/>
      </c>
      <c r="N81" s="20">
        <f>M44</f>
        <v/>
      </c>
      <c r="O81" s="20">
        <f>N44</f>
        <v/>
      </c>
      <c r="P81" s="20">
        <f>O44</f>
        <v/>
      </c>
      <c r="Q81" s="20">
        <f>P44</f>
        <v/>
      </c>
      <c r="R81" s="20">
        <f>Q44</f>
        <v/>
      </c>
    </row>
    <row r="82">
      <c r="A82" s="2" t="inlineStr">
        <is>
          <t>Closing Cash Balance</t>
        </is>
      </c>
      <c r="E82" s="25">
        <f>E80+E81</f>
        <v/>
      </c>
      <c r="F82" s="25">
        <f>F80+F81</f>
        <v/>
      </c>
      <c r="G82" s="25">
        <f>G80+G81</f>
        <v/>
      </c>
      <c r="H82" s="25">
        <f>H80+H81</f>
        <v/>
      </c>
      <c r="I82" s="25">
        <f>I80+I81</f>
        <v/>
      </c>
      <c r="J82" s="25">
        <f>J80+J81</f>
        <v/>
      </c>
      <c r="K82" s="25">
        <f>K80+K81</f>
        <v/>
      </c>
      <c r="L82" s="25">
        <f>L80+L81</f>
        <v/>
      </c>
      <c r="M82" s="25">
        <f>M80+M81</f>
        <v/>
      </c>
      <c r="N82" s="25">
        <f>N80+N81</f>
        <v/>
      </c>
      <c r="O82" s="25">
        <f>O80+O81</f>
        <v/>
      </c>
      <c r="P82" s="25">
        <f>P80+P81</f>
        <v/>
      </c>
      <c r="Q82" s="25">
        <f>Q80+Q81</f>
        <v/>
      </c>
      <c r="R82" s="25">
        <f>R80+R81</f>
        <v/>
      </c>
    </row>
    <row r="83">
      <c r="A83" s="1" t="inlineStr">
        <is>
          <t>Historical CFS is PARTIAL: the 8-line schema omits dividends paid and securities flows, so computed historical cash movements do not reconcile to reported cash. Forecast years DO tie.</t>
        </is>
      </c>
    </row>
    <row r="86">
      <c r="A86" s="13" t="inlineStr">
        <is>
          <t>Supporting Schedules</t>
        </is>
      </c>
      <c r="B86" s="14" t="n"/>
      <c r="C86" s="14" t="n"/>
      <c r="D86" s="14" t="n"/>
      <c r="E86" s="14" t="n"/>
      <c r="F86" s="14" t="n"/>
      <c r="G86" s="14" t="n"/>
      <c r="H86" s="14" t="n"/>
      <c r="I86" s="14" t="n"/>
      <c r="J86" s="14" t="n"/>
      <c r="K86" s="14" t="n"/>
      <c r="L86" s="14" t="n"/>
      <c r="M86" s="14" t="n"/>
      <c r="N86" s="14" t="n"/>
      <c r="O86" s="14" t="n"/>
      <c r="P86" s="14" t="n"/>
      <c r="Q86" s="14" t="n"/>
      <c r="R86" s="14" t="n"/>
      <c r="S86" s="14" t="n"/>
    </row>
    <row r="88">
      <c r="A88" s="2" t="inlineStr">
        <is>
          <t>Working Capital Schedule</t>
        </is>
      </c>
    </row>
    <row r="89">
      <c r="A89" s="3" t="inlineStr">
        <is>
          <t>Accounts Receivable</t>
        </is>
      </c>
      <c r="D89" s="20">
        <f>D45</f>
        <v/>
      </c>
      <c r="E89" s="20">
        <f>E45</f>
        <v/>
      </c>
      <c r="F89" s="20">
        <f>F45</f>
        <v/>
      </c>
      <c r="G89" s="20">
        <f>G45</f>
        <v/>
      </c>
      <c r="H89" s="20">
        <f>H45</f>
        <v/>
      </c>
      <c r="I89" s="20">
        <f>I45</f>
        <v/>
      </c>
      <c r="J89" s="20">
        <f>J45</f>
        <v/>
      </c>
      <c r="K89" s="20">
        <f>K45</f>
        <v/>
      </c>
      <c r="L89" s="20">
        <f>L45</f>
        <v/>
      </c>
      <c r="M89" s="20">
        <f>M45</f>
        <v/>
      </c>
      <c r="N89" s="20">
        <f>N45</f>
        <v/>
      </c>
      <c r="O89" s="20">
        <f>O45</f>
        <v/>
      </c>
      <c r="P89" s="20">
        <f>P45</f>
        <v/>
      </c>
      <c r="Q89" s="20">
        <f>Q45</f>
        <v/>
      </c>
      <c r="R89" s="20">
        <f>R45</f>
        <v/>
      </c>
    </row>
    <row r="90">
      <c r="A90" s="3" t="inlineStr">
        <is>
          <t>Inventory</t>
        </is>
      </c>
      <c r="D90" s="20">
        <f>D46</f>
        <v/>
      </c>
      <c r="E90" s="20">
        <f>E46</f>
        <v/>
      </c>
      <c r="F90" s="20">
        <f>F46</f>
        <v/>
      </c>
      <c r="G90" s="20">
        <f>G46</f>
        <v/>
      </c>
      <c r="H90" s="20">
        <f>H46</f>
        <v/>
      </c>
      <c r="I90" s="20">
        <f>I46</f>
        <v/>
      </c>
      <c r="J90" s="20">
        <f>J46</f>
        <v/>
      </c>
      <c r="K90" s="20">
        <f>K46</f>
        <v/>
      </c>
      <c r="L90" s="20">
        <f>L46</f>
        <v/>
      </c>
      <c r="M90" s="20">
        <f>M46</f>
        <v/>
      </c>
      <c r="N90" s="20">
        <f>N46</f>
        <v/>
      </c>
      <c r="O90" s="20">
        <f>O46</f>
        <v/>
      </c>
      <c r="P90" s="20">
        <f>P46</f>
        <v/>
      </c>
      <c r="Q90" s="20">
        <f>Q46</f>
        <v/>
      </c>
      <c r="R90" s="20">
        <f>R46</f>
        <v/>
      </c>
    </row>
    <row r="91">
      <c r="A91" s="3" t="inlineStr">
        <is>
          <t>Accounts Payable</t>
        </is>
      </c>
      <c r="D91" s="20">
        <f>D51</f>
        <v/>
      </c>
      <c r="E91" s="20">
        <f>E51</f>
        <v/>
      </c>
      <c r="F91" s="20">
        <f>F51</f>
        <v/>
      </c>
      <c r="G91" s="20">
        <f>G51</f>
        <v/>
      </c>
      <c r="H91" s="20">
        <f>H51</f>
        <v/>
      </c>
      <c r="I91" s="20">
        <f>I51</f>
        <v/>
      </c>
      <c r="J91" s="20">
        <f>J51</f>
        <v/>
      </c>
      <c r="K91" s="20">
        <f>K51</f>
        <v/>
      </c>
      <c r="L91" s="20">
        <f>L51</f>
        <v/>
      </c>
      <c r="M91" s="20">
        <f>M51</f>
        <v/>
      </c>
      <c r="N91" s="20">
        <f>N51</f>
        <v/>
      </c>
      <c r="O91" s="20">
        <f>O51</f>
        <v/>
      </c>
      <c r="P91" s="20">
        <f>P51</f>
        <v/>
      </c>
      <c r="Q91" s="20">
        <f>Q51</f>
        <v/>
      </c>
      <c r="R91" s="20">
        <f>R51</f>
        <v/>
      </c>
    </row>
    <row r="92">
      <c r="A92" s="3" t="inlineStr">
        <is>
          <t>Net Working Capital (NWC)</t>
        </is>
      </c>
      <c r="D92" s="27">
        <f>D89+D90-D91</f>
        <v/>
      </c>
      <c r="E92" s="27">
        <f>E89+E90-E91</f>
        <v/>
      </c>
      <c r="F92" s="27">
        <f>F89+F90-F91</f>
        <v/>
      </c>
      <c r="G92" s="27">
        <f>G89+G90-G91</f>
        <v/>
      </c>
      <c r="H92" s="27">
        <f>H89+H90-H91</f>
        <v/>
      </c>
      <c r="I92" s="27">
        <f>I89+I90-I91</f>
        <v/>
      </c>
      <c r="J92" s="27">
        <f>J89+J90-J91</f>
        <v/>
      </c>
      <c r="K92" s="27">
        <f>K89+K90-K91</f>
        <v/>
      </c>
      <c r="L92" s="27">
        <f>L89+L90-L91</f>
        <v/>
      </c>
      <c r="M92" s="27">
        <f>M89+M90-M91</f>
        <v/>
      </c>
      <c r="N92" s="27">
        <f>N89+N90-N91</f>
        <v/>
      </c>
      <c r="O92" s="27">
        <f>O89+O90-O91</f>
        <v/>
      </c>
      <c r="P92" s="27">
        <f>P89+P90-P91</f>
        <v/>
      </c>
      <c r="Q92" s="27">
        <f>Q89+Q90-Q91</f>
        <v/>
      </c>
      <c r="R92" s="27">
        <f>R89+R90-R91</f>
        <v/>
      </c>
    </row>
    <row r="93">
      <c r="A93" s="3" t="inlineStr">
        <is>
          <t>Change in NWC</t>
        </is>
      </c>
      <c r="D93" s="20">
        <f>D92</f>
        <v/>
      </c>
      <c r="E93" s="20">
        <f>E92-D92</f>
        <v/>
      </c>
      <c r="F93" s="20">
        <f>F92-E92</f>
        <v/>
      </c>
      <c r="G93" s="20">
        <f>G92-F92</f>
        <v/>
      </c>
      <c r="H93" s="20">
        <f>H92-G92</f>
        <v/>
      </c>
      <c r="I93" s="20">
        <f>I92-H92</f>
        <v/>
      </c>
      <c r="J93" s="20">
        <f>J92-I92</f>
        <v/>
      </c>
      <c r="K93" s="20">
        <f>K92-J92</f>
        <v/>
      </c>
      <c r="L93" s="20">
        <f>L92-K92</f>
        <v/>
      </c>
      <c r="M93" s="20">
        <f>M92-L92</f>
        <v/>
      </c>
      <c r="N93" s="20">
        <f>N92-M92</f>
        <v/>
      </c>
      <c r="O93" s="20">
        <f>O92-N92</f>
        <v/>
      </c>
      <c r="P93" s="20">
        <f>P92-O92</f>
        <v/>
      </c>
      <c r="Q93" s="20">
        <f>Q92-P92</f>
        <v/>
      </c>
      <c r="R93" s="20">
        <f>R92-Q92</f>
        <v/>
      </c>
    </row>
    <row r="95">
      <c r="A95" s="2" t="inlineStr">
        <is>
          <t>Depreciation Schedule</t>
        </is>
      </c>
    </row>
    <row r="96">
      <c r="A96" s="3" t="inlineStr">
        <is>
          <t>PPE Opening</t>
        </is>
      </c>
      <c r="D96" s="4">
        <f>Data_Input!C26</f>
        <v/>
      </c>
      <c r="E96" s="20">
        <f>D99</f>
        <v/>
      </c>
      <c r="F96" s="20">
        <f>E99</f>
        <v/>
      </c>
      <c r="G96" s="20">
        <f>F99</f>
        <v/>
      </c>
      <c r="H96" s="20">
        <f>G99</f>
        <v/>
      </c>
      <c r="I96" s="20">
        <f>H47</f>
        <v/>
      </c>
      <c r="J96" s="20">
        <f>I99</f>
        <v/>
      </c>
      <c r="K96" s="20">
        <f>J99</f>
        <v/>
      </c>
      <c r="L96" s="20">
        <f>K99</f>
        <v/>
      </c>
      <c r="M96" s="20">
        <f>L99</f>
        <v/>
      </c>
      <c r="N96" s="20">
        <f>M99</f>
        <v/>
      </c>
      <c r="O96" s="20">
        <f>N99</f>
        <v/>
      </c>
      <c r="P96" s="20">
        <f>O99</f>
        <v/>
      </c>
      <c r="Q96" s="20">
        <f>P99</f>
        <v/>
      </c>
      <c r="R96" s="20">
        <f>Q99</f>
        <v/>
      </c>
    </row>
    <row r="97">
      <c r="A97" s="3" t="inlineStr">
        <is>
          <t>Plus Capex</t>
        </is>
      </c>
      <c r="D97" s="4">
        <f>Data_Input!C22</f>
        <v/>
      </c>
      <c r="E97" s="4">
        <f>Data_Input!D22</f>
        <v/>
      </c>
      <c r="F97" s="4">
        <f>Data_Input!E22</f>
        <v/>
      </c>
      <c r="G97" s="4">
        <f>Data_Input!F22</f>
        <v/>
      </c>
      <c r="H97" s="4">
        <f>Data_Input!G22</f>
        <v/>
      </c>
      <c r="I97" s="20">
        <f>I18</f>
        <v/>
      </c>
      <c r="J97" s="20">
        <f>J18</f>
        <v/>
      </c>
      <c r="K97" s="20">
        <f>K18</f>
        <v/>
      </c>
      <c r="L97" s="20">
        <f>L18</f>
        <v/>
      </c>
      <c r="M97" s="20">
        <f>M18</f>
        <v/>
      </c>
      <c r="N97" s="20">
        <f>N18</f>
        <v/>
      </c>
      <c r="O97" s="20">
        <f>O18</f>
        <v/>
      </c>
      <c r="P97" s="20">
        <f>P18</f>
        <v/>
      </c>
      <c r="Q97" s="20">
        <f>Q18</f>
        <v/>
      </c>
      <c r="R97" s="20">
        <f>R18</f>
        <v/>
      </c>
    </row>
    <row r="98">
      <c r="A98" s="3" t="inlineStr">
        <is>
          <t>Less Depreciation</t>
        </is>
      </c>
      <c r="D98" s="20">
        <f>D32</f>
        <v/>
      </c>
      <c r="E98" s="20">
        <f>E32</f>
        <v/>
      </c>
      <c r="F98" s="20">
        <f>F32</f>
        <v/>
      </c>
      <c r="G98" s="20">
        <f>G32</f>
        <v/>
      </c>
      <c r="H98" s="20">
        <f>H32</f>
        <v/>
      </c>
      <c r="I98" s="20">
        <f>I32</f>
        <v/>
      </c>
      <c r="J98" s="20">
        <f>J32</f>
        <v/>
      </c>
      <c r="K98" s="20">
        <f>K32</f>
        <v/>
      </c>
      <c r="L98" s="20">
        <f>L32</f>
        <v/>
      </c>
      <c r="M98" s="20">
        <f>M32</f>
        <v/>
      </c>
      <c r="N98" s="20">
        <f>N32</f>
        <v/>
      </c>
      <c r="O98" s="20">
        <f>O32</f>
        <v/>
      </c>
      <c r="P98" s="20">
        <f>P32</f>
        <v/>
      </c>
      <c r="Q98" s="20">
        <f>Q32</f>
        <v/>
      </c>
      <c r="R98" s="20">
        <f>R32</f>
        <v/>
      </c>
    </row>
    <row r="99">
      <c r="A99" s="2" t="inlineStr">
        <is>
          <t>PPE Closing</t>
        </is>
      </c>
      <c r="D99" s="24">
        <f>D96+D97-D98</f>
        <v/>
      </c>
      <c r="E99" s="24">
        <f>E96+E97-E98</f>
        <v/>
      </c>
      <c r="F99" s="24">
        <f>F96+F97-F98</f>
        <v/>
      </c>
      <c r="G99" s="24">
        <f>G96+G97-G98</f>
        <v/>
      </c>
      <c r="H99" s="24">
        <f>H96+H97-H98</f>
        <v/>
      </c>
      <c r="I99" s="24">
        <f>I96+I97-I98</f>
        <v/>
      </c>
      <c r="J99" s="24">
        <f>J96+J97-J98</f>
        <v/>
      </c>
      <c r="K99" s="24">
        <f>K96+K97-K98</f>
        <v/>
      </c>
      <c r="L99" s="24">
        <f>L96+L97-L98</f>
        <v/>
      </c>
      <c r="M99" s="24">
        <f>M96+M97-M98</f>
        <v/>
      </c>
      <c r="N99" s="24">
        <f>N96+N97-N98</f>
        <v/>
      </c>
      <c r="O99" s="24">
        <f>O96+O97-O98</f>
        <v/>
      </c>
      <c r="P99" s="24">
        <f>P96+P97-P98</f>
        <v/>
      </c>
      <c r="Q99" s="24">
        <f>Q96+Q97-Q98</f>
        <v/>
      </c>
      <c r="R99" s="24">
        <f>R96+R97-R98</f>
        <v/>
      </c>
    </row>
    <row r="101">
      <c r="A101" s="2" t="inlineStr">
        <is>
          <t>Debt &amp; Interest Schedule</t>
        </is>
      </c>
    </row>
    <row r="102">
      <c r="A102" s="3" t="inlineStr">
        <is>
          <t>Debt Opening</t>
        </is>
      </c>
      <c r="D102" s="4">
        <f>Data_Input!C27</f>
        <v/>
      </c>
      <c r="E102" s="20">
        <f>D104</f>
        <v/>
      </c>
      <c r="F102" s="20">
        <f>E104</f>
        <v/>
      </c>
      <c r="G102" s="20">
        <f>F104</f>
        <v/>
      </c>
      <c r="H102" s="20">
        <f>G104</f>
        <v/>
      </c>
      <c r="I102" s="20">
        <f>H52</f>
        <v/>
      </c>
      <c r="J102" s="20">
        <f>I104</f>
        <v/>
      </c>
      <c r="K102" s="20">
        <f>J104</f>
        <v/>
      </c>
      <c r="L102" s="20">
        <f>K104</f>
        <v/>
      </c>
      <c r="M102" s="20">
        <f>L104</f>
        <v/>
      </c>
      <c r="N102" s="20">
        <f>M104</f>
        <v/>
      </c>
      <c r="O102" s="20">
        <f>N104</f>
        <v/>
      </c>
      <c r="P102" s="20">
        <f>O104</f>
        <v/>
      </c>
      <c r="Q102" s="20">
        <f>P104</f>
        <v/>
      </c>
      <c r="R102" s="20">
        <f>Q104</f>
        <v/>
      </c>
    </row>
    <row r="103">
      <c r="A103" s="3" t="inlineStr">
        <is>
          <t>Issuance (repayment)</t>
        </is>
      </c>
      <c r="D103" s="4">
        <f>Data_Input!C23</f>
        <v/>
      </c>
      <c r="E103" s="4">
        <f>Data_Input!D23</f>
        <v/>
      </c>
      <c r="F103" s="4">
        <f>Data_Input!E23</f>
        <v/>
      </c>
      <c r="G103" s="4">
        <f>Data_Input!F23</f>
        <v/>
      </c>
      <c r="H103" s="4">
        <f>Data_Input!G23</f>
        <v/>
      </c>
      <c r="I103" s="20">
        <f>I19</f>
        <v/>
      </c>
      <c r="J103" s="20">
        <f>J19</f>
        <v/>
      </c>
      <c r="K103" s="20">
        <f>K19</f>
        <v/>
      </c>
      <c r="L103" s="20">
        <f>L19</f>
        <v/>
      </c>
      <c r="M103" s="20">
        <f>M19</f>
        <v/>
      </c>
      <c r="N103" s="20">
        <f>N19</f>
        <v/>
      </c>
      <c r="O103" s="20">
        <f>O19</f>
        <v/>
      </c>
      <c r="P103" s="20">
        <f>P19</f>
        <v/>
      </c>
      <c r="Q103" s="20">
        <f>Q19</f>
        <v/>
      </c>
      <c r="R103" s="20">
        <f>R19</f>
        <v/>
      </c>
    </row>
    <row r="104">
      <c r="A104" s="2" t="inlineStr">
        <is>
          <t>Debt Closing</t>
        </is>
      </c>
      <c r="D104" s="24">
        <f>D102+D103</f>
        <v/>
      </c>
      <c r="E104" s="24">
        <f>E102+E103</f>
        <v/>
      </c>
      <c r="F104" s="24">
        <f>F102+F103</f>
        <v/>
      </c>
      <c r="G104" s="24">
        <f>G102+G103</f>
        <v/>
      </c>
      <c r="H104" s="24">
        <f>H102+H103</f>
        <v/>
      </c>
      <c r="I104" s="24">
        <f>I102+I103</f>
        <v/>
      </c>
      <c r="J104" s="24">
        <f>J102+J103</f>
        <v/>
      </c>
      <c r="K104" s="24">
        <f>K102+K103</f>
        <v/>
      </c>
      <c r="L104" s="24">
        <f>L102+L103</f>
        <v/>
      </c>
      <c r="M104" s="24">
        <f>M102+M103</f>
        <v/>
      </c>
      <c r="N104" s="24">
        <f>N102+N103</f>
        <v/>
      </c>
      <c r="O104" s="24">
        <f>O102+O103</f>
        <v/>
      </c>
      <c r="P104" s="24">
        <f>P102+P103</f>
        <v/>
      </c>
      <c r="Q104" s="24">
        <f>Q102+Q103</f>
        <v/>
      </c>
      <c r="R104" s="24">
        <f>R102+R103</f>
        <v/>
      </c>
    </row>
    <row r="105">
      <c r="A105" s="3" t="inlineStr">
        <is>
          <t>Interest Expense</t>
        </is>
      </c>
      <c r="D105" s="20">
        <f>D33</f>
        <v/>
      </c>
      <c r="E105" s="20">
        <f>E33</f>
        <v/>
      </c>
      <c r="F105" s="20">
        <f>F33</f>
        <v/>
      </c>
      <c r="G105" s="20">
        <f>G33</f>
        <v/>
      </c>
      <c r="H105" s="20">
        <f>H33</f>
        <v/>
      </c>
      <c r="I105" s="20">
        <f>I13*AVERAGE(I102,I104)</f>
        <v/>
      </c>
      <c r="J105" s="20">
        <f>J13*AVERAGE(J102,J104)</f>
        <v/>
      </c>
      <c r="K105" s="20">
        <f>K13*AVERAGE(K102,K104)</f>
        <v/>
      </c>
      <c r="L105" s="20">
        <f>L13*AVERAGE(L102,L104)</f>
        <v/>
      </c>
      <c r="M105" s="20">
        <f>M13*AVERAGE(M102,M104)</f>
        <v/>
      </c>
      <c r="N105" s="20">
        <f>N13*AVERAGE(N102,N104)</f>
        <v/>
      </c>
      <c r="O105" s="20">
        <f>O13*AVERAGE(O102,O104)</f>
        <v/>
      </c>
      <c r="P105" s="20">
        <f>P13*AVERAGE(P102,P104)</f>
        <v/>
      </c>
      <c r="Q105" s="20">
        <f>Q13*AVERAGE(Q102,Q104)</f>
        <v/>
      </c>
      <c r="R105" s="20">
        <f>R13*AVERAGE(R102,R104)</f>
        <v/>
      </c>
    </row>
    <row r="107">
      <c r="A107" s="2" t="inlineStr">
        <is>
          <t>Tax Loss (NOL) Schedule</t>
        </is>
      </c>
    </row>
    <row r="108">
      <c r="A108" s="3" t="inlineStr">
        <is>
          <t>NOL Opening</t>
        </is>
      </c>
      <c r="I108" s="4">
        <f>Data_Input!C28</f>
        <v/>
      </c>
      <c r="J108" s="20">
        <f>I110</f>
        <v/>
      </c>
      <c r="K108" s="20">
        <f>J110</f>
        <v/>
      </c>
      <c r="L108" s="20">
        <f>K110</f>
        <v/>
      </c>
      <c r="M108" s="20">
        <f>L110</f>
        <v/>
      </c>
      <c r="N108" s="20">
        <f>M110</f>
        <v/>
      </c>
      <c r="O108" s="20">
        <f>N110</f>
        <v/>
      </c>
      <c r="P108" s="20">
        <f>O110</f>
        <v/>
      </c>
      <c r="Q108" s="20">
        <f>P110</f>
        <v/>
      </c>
      <c r="R108" s="20">
        <f>Q110</f>
        <v/>
      </c>
    </row>
    <row r="109">
      <c r="A109" s="3" t="inlineStr">
        <is>
          <t>NOL Used</t>
        </is>
      </c>
      <c r="I109" s="20">
        <f>MIN(I108,MAX(I35,0))</f>
        <v/>
      </c>
      <c r="J109" s="20">
        <f>MIN(J108,MAX(J35,0))</f>
        <v/>
      </c>
      <c r="K109" s="20">
        <f>MIN(K108,MAX(K35,0))</f>
        <v/>
      </c>
      <c r="L109" s="20">
        <f>MIN(L108,MAX(L35,0))</f>
        <v/>
      </c>
      <c r="M109" s="20">
        <f>MIN(M108,MAX(M35,0))</f>
        <v/>
      </c>
      <c r="N109" s="20">
        <f>MIN(N108,MAX(N35,0))</f>
        <v/>
      </c>
      <c r="O109" s="20">
        <f>MIN(O108,MAX(O35,0))</f>
        <v/>
      </c>
      <c r="P109" s="20">
        <f>MIN(P108,MAX(P35,0))</f>
        <v/>
      </c>
      <c r="Q109" s="20">
        <f>MIN(Q108,MAX(Q35,0))</f>
        <v/>
      </c>
      <c r="R109" s="20">
        <f>MIN(R108,MAX(R35,0))</f>
        <v/>
      </c>
    </row>
    <row r="110">
      <c r="A110" s="2" t="inlineStr">
        <is>
          <t>NOL Closing</t>
        </is>
      </c>
      <c r="I110" s="24">
        <f>I108-I109</f>
        <v/>
      </c>
      <c r="J110" s="24">
        <f>J108-J109</f>
        <v/>
      </c>
      <c r="K110" s="24">
        <f>K108-K109</f>
        <v/>
      </c>
      <c r="L110" s="24">
        <f>L108-L109</f>
        <v/>
      </c>
      <c r="M110" s="24">
        <f>M108-M109</f>
        <v/>
      </c>
      <c r="N110" s="24">
        <f>N108-N109</f>
        <v/>
      </c>
      <c r="O110" s="24">
        <f>O108-O109</f>
        <v/>
      </c>
      <c r="P110" s="24">
        <f>P108-P109</f>
        <v/>
      </c>
      <c r="Q110" s="24">
        <f>Q108-Q109</f>
        <v/>
      </c>
      <c r="R110" s="24">
        <f>R108-R109</f>
        <v/>
      </c>
    </row>
    <row r="112">
      <c r="A112" s="16" t="inlineStr">
        <is>
          <t>Revenue Build-Up Schedule</t>
        </is>
      </c>
      <c r="B112" s="17" t="n"/>
      <c r="C112" s="17" t="n"/>
      <c r="D112" s="17" t="n"/>
      <c r="E112" s="17" t="n"/>
      <c r="F112" s="17" t="n"/>
      <c r="G112" s="17" t="n"/>
      <c r="H112" s="17" t="n"/>
      <c r="I112" s="17" t="n"/>
      <c r="J112" s="17" t="n"/>
      <c r="K112" s="17" t="n"/>
      <c r="L112" s="17" t="n"/>
      <c r="M112" s="17" t="n"/>
      <c r="N112" s="17" t="n"/>
      <c r="O112" s="17" t="n"/>
      <c r="P112" s="17" t="n"/>
      <c r="Q112" s="17" t="n"/>
      <c r="R112" s="17" t="n"/>
      <c r="S112" s="17" t="n"/>
    </row>
    <row r="113">
      <c r="A113" s="1" t="inlineStr">
        <is>
          <t>No revenue build-up provided - revenue growth rates in Key Assumptions are direct inputs. For commodity/project companies, provide forecast.revenue_buildup so growth is derived.</t>
        </is>
      </c>
    </row>
    <row r="114"/>
    <row r="115"/>
    <row r="116" hidden="1"/>
    <row r="117" hidden="1"/>
    <row r="118" hidden="1"/>
    <row r="119" hidden="1"/>
    <row r="120" hidden="1"/>
    <row r="121" hidden="1"/>
    <row r="122" hidden="1"/>
    <row r="123" hidden="1"/>
    <row r="124" hidden="1"/>
    <row r="125" hidden="1"/>
    <row r="126" hidden="1"/>
    <row r="127" hidden="1"/>
    <row r="128" hidden="1"/>
    <row r="129" hidden="1"/>
    <row r="130" hidden="1"/>
    <row r="131">
      <c r="A131" s="13" t="inlineStr">
        <is>
          <t>DCF Valuation</t>
        </is>
      </c>
      <c r="B131" s="14" t="n"/>
      <c r="C131" s="14" t="n"/>
      <c r="D131" s="14" t="n"/>
      <c r="E131" s="14" t="n"/>
      <c r="F131" s="14" t="n"/>
      <c r="G131" s="14" t="n"/>
      <c r="H131" s="14" t="n"/>
      <c r="I131" s="14" t="n"/>
      <c r="J131" s="14" t="n"/>
      <c r="K131" s="14" t="n"/>
      <c r="L131" s="14" t="n"/>
      <c r="M131" s="14" t="n"/>
      <c r="N131" s="14" t="n"/>
      <c r="O131" s="14" t="n"/>
      <c r="P131" s="14" t="n"/>
      <c r="Q131" s="14" t="n"/>
      <c r="R131" s="14" t="n"/>
      <c r="S131" s="14" t="n"/>
    </row>
    <row r="133">
      <c r="A133" s="16" t="inlineStr">
        <is>
          <t>Valuation Inputs</t>
        </is>
      </c>
      <c r="B133" s="17" t="n"/>
      <c r="C133" s="17" t="n"/>
      <c r="D133" s="17" t="n"/>
      <c r="E133" s="17" t="n"/>
      <c r="F133" s="17" t="n"/>
      <c r="G133" s="17" t="n"/>
      <c r="H133" s="17" t="n"/>
      <c r="I133" s="17" t="n"/>
      <c r="J133" s="17" t="n"/>
      <c r="K133" s="17" t="n"/>
      <c r="L133" s="17" t="n"/>
      <c r="M133" s="17" t="n"/>
      <c r="N133" s="17" t="n"/>
      <c r="O133" s="17" t="n"/>
      <c r="P133" s="17" t="n"/>
      <c r="Q133" s="17" t="n"/>
      <c r="R133" s="17" t="n"/>
      <c r="S133" s="17" t="n"/>
    </row>
    <row r="134">
      <c r="A134" s="3" t="inlineStr">
        <is>
          <t>Transaction Date</t>
        </is>
      </c>
      <c r="D134" s="28" t="n">
        <v>46219</v>
      </c>
    </row>
    <row r="135">
      <c r="A135" s="3" t="inlineStr">
        <is>
          <t>Current Share Price</t>
        </is>
      </c>
      <c r="D135" s="4" t="n">
        <v>646.01</v>
      </c>
    </row>
    <row r="136">
      <c r="A136" s="3" t="inlineStr">
        <is>
          <t>Shares Outstanding</t>
        </is>
      </c>
      <c r="D136" s="4" t="n">
        <v>2.538</v>
      </c>
    </row>
    <row r="137">
      <c r="A137" s="3" t="inlineStr">
        <is>
          <t>Market Capitalization</t>
        </is>
      </c>
      <c r="D137" s="20">
        <f>D135*D136</f>
        <v/>
      </c>
    </row>
    <row r="138">
      <c r="A138" s="3" t="inlineStr">
        <is>
          <t>Perpetual Growth Rate</t>
        </is>
      </c>
      <c r="D138" s="29" t="n">
        <v>0.0432</v>
      </c>
    </row>
    <row r="139">
      <c r="A139" s="3" t="inlineStr">
        <is>
          <t>Exit EV/EBITDA Multiple</t>
        </is>
      </c>
      <c r="D139" s="30" t="n">
        <v>13</v>
      </c>
    </row>
    <row r="140">
      <c r="A140" s="3" t="inlineStr">
        <is>
          <t>Actual Market Cap (today)</t>
        </is>
      </c>
      <c r="D140" s="4" t="n">
        <v>1639.57</v>
      </c>
    </row>
    <row r="141">
      <c r="A141" s="3" t="inlineStr">
        <is>
          <t>Actual Shares Outstanding</t>
        </is>
      </c>
      <c r="D141" s="4" t="n">
        <v>2.538</v>
      </c>
    </row>
    <row r="143">
      <c r="A143" s="16" t="inlineStr">
        <is>
          <t>Discounted Cash Flow</t>
        </is>
      </c>
      <c r="B143" s="17" t="n"/>
      <c r="C143" s="17" t="n"/>
      <c r="D143" s="17" t="n"/>
      <c r="E143" s="17" t="n"/>
      <c r="F143" s="17" t="n"/>
      <c r="G143" s="17" t="n"/>
      <c r="H143" s="17" t="n"/>
      <c r="I143" s="17" t="n"/>
      <c r="J143" s="17" t="n"/>
      <c r="K143" s="17" t="n"/>
      <c r="L143" s="17" t="n"/>
      <c r="M143" s="17" t="n"/>
      <c r="N143" s="17" t="n"/>
      <c r="O143" s="17" t="n"/>
      <c r="P143" s="17" t="n"/>
      <c r="Q143" s="17" t="n"/>
      <c r="R143" s="17" t="n"/>
      <c r="S143" s="17" t="n"/>
    </row>
    <row r="144">
      <c r="H144" s="2" t="inlineStr">
        <is>
          <t>Entry</t>
        </is>
      </c>
      <c r="S144" s="2" t="inlineStr">
        <is>
          <t>Exit</t>
        </is>
      </c>
    </row>
    <row r="145">
      <c r="A145" s="3" t="inlineStr">
        <is>
          <t>Date</t>
        </is>
      </c>
      <c r="H145" s="31" t="n">
        <v>46219</v>
      </c>
      <c r="I145" s="31" t="n">
        <v>46387</v>
      </c>
      <c r="J145" s="31">
        <f>EDATE(I145,12)</f>
        <v/>
      </c>
      <c r="K145" s="31">
        <f>EDATE(J145,12)</f>
        <v/>
      </c>
      <c r="L145" s="31">
        <f>EDATE(K145,12)</f>
        <v/>
      </c>
      <c r="M145" s="31">
        <f>EDATE(L145,12)</f>
        <v/>
      </c>
      <c r="N145" s="31">
        <f>EDATE(M145,12)</f>
        <v/>
      </c>
      <c r="O145" s="31">
        <f>EDATE(N145,12)</f>
        <v/>
      </c>
      <c r="P145" s="31">
        <f>EDATE(O145,12)</f>
        <v/>
      </c>
      <c r="Q145" s="31">
        <f>EDATE(P145,12)</f>
        <v/>
      </c>
      <c r="R145" s="31">
        <f>EDATE(Q145,12)</f>
        <v/>
      </c>
      <c r="S145" s="31">
        <f>R145</f>
        <v/>
      </c>
    </row>
    <row r="146">
      <c r="A146" s="1" t="inlineStr">
        <is>
          <t>Time Periods</t>
        </is>
      </c>
      <c r="I146" s="32" t="n">
        <v>0</v>
      </c>
      <c r="J146" s="32" t="n">
        <v>1</v>
      </c>
      <c r="K146" s="32" t="n">
        <v>2</v>
      </c>
      <c r="L146" s="32" t="n">
        <v>3</v>
      </c>
      <c r="M146" s="32" t="n">
        <v>4</v>
      </c>
      <c r="N146" s="32" t="n">
        <v>5</v>
      </c>
      <c r="O146" s="32" t="n">
        <v>6</v>
      </c>
      <c r="P146" s="32" t="n">
        <v>7</v>
      </c>
      <c r="Q146" s="32" t="n">
        <v>8</v>
      </c>
      <c r="R146" s="32" t="n">
        <v>9</v>
      </c>
    </row>
    <row r="147">
      <c r="A147" s="1" t="inlineStr">
        <is>
          <t>Year Fraction</t>
        </is>
      </c>
      <c r="I147" s="33">
        <f>YEARFRAC($H$145,I145,1)</f>
        <v/>
      </c>
      <c r="J147" s="33">
        <f>YEARFRAC(I145,J145,1)</f>
        <v/>
      </c>
      <c r="K147" s="33">
        <f>YEARFRAC(J145,K145,1)</f>
        <v/>
      </c>
      <c r="L147" s="33">
        <f>YEARFRAC(K145,L145,1)</f>
        <v/>
      </c>
      <c r="M147" s="33">
        <f>YEARFRAC(L145,M145,1)</f>
        <v/>
      </c>
      <c r="N147" s="33">
        <f>YEARFRAC(M145,N145,1)</f>
        <v/>
      </c>
      <c r="O147" s="33">
        <f>YEARFRAC(N145,O145,1)</f>
        <v/>
      </c>
      <c r="P147" s="33">
        <f>YEARFRAC(O145,P145,1)</f>
        <v/>
      </c>
      <c r="Q147" s="33">
        <f>YEARFRAC(P145,Q145,1)</f>
        <v/>
      </c>
      <c r="R147" s="33">
        <f>YEARFRAC(Q145,R145,1)</f>
        <v/>
      </c>
    </row>
    <row r="148">
      <c r="A148" s="1" t="inlineStr">
        <is>
          <t>Cumulative Year Fraction</t>
        </is>
      </c>
      <c r="I148" s="33">
        <f>I147</f>
        <v/>
      </c>
      <c r="J148" s="33">
        <f>I148+J147</f>
        <v/>
      </c>
      <c r="K148" s="33">
        <f>J148+K147</f>
        <v/>
      </c>
      <c r="L148" s="33">
        <f>K148+L147</f>
        <v/>
      </c>
      <c r="M148" s="33">
        <f>L148+M147</f>
        <v/>
      </c>
      <c r="N148" s="33">
        <f>M148+N147</f>
        <v/>
      </c>
      <c r="O148" s="33">
        <f>N148+O147</f>
        <v/>
      </c>
      <c r="P148" s="33">
        <f>O148+P147</f>
        <v/>
      </c>
      <c r="Q148" s="33">
        <f>P148+Q147</f>
        <v/>
      </c>
      <c r="R148" s="33">
        <f>Q148+R147</f>
        <v/>
      </c>
    </row>
    <row r="149">
      <c r="A149" s="3" t="inlineStr">
        <is>
          <t>Discount Rate (WACC)</t>
        </is>
      </c>
      <c r="I149" s="29" t="n">
        <v>0.09229999999999999</v>
      </c>
      <c r="J149" s="29" t="n">
        <v>0.0915</v>
      </c>
      <c r="K149" s="29" t="n">
        <v>0.09080000000000001</v>
      </c>
      <c r="L149" s="29" t="n">
        <v>0.09</v>
      </c>
      <c r="M149" s="29" t="n">
        <v>0.0892</v>
      </c>
      <c r="N149" s="29" t="n">
        <v>0.08840000000000001</v>
      </c>
      <c r="O149" s="29" t="n">
        <v>0.0877</v>
      </c>
      <c r="P149" s="29" t="n">
        <v>0.08690000000000001</v>
      </c>
      <c r="Q149" s="29" t="n">
        <v>0.0861</v>
      </c>
      <c r="R149" s="29" t="n">
        <v>0.0853</v>
      </c>
    </row>
    <row r="150">
      <c r="A150" s="1" t="inlineStr">
        <is>
          <t>Discount Factor (cumulative)</t>
        </is>
      </c>
      <c r="I150" s="34">
        <f>1/(1+I149)^I147</f>
        <v/>
      </c>
      <c r="J150" s="34">
        <f>I150/(1+J149)^J147</f>
        <v/>
      </c>
      <c r="K150" s="34">
        <f>J150/(1+K149)^K147</f>
        <v/>
      </c>
      <c r="L150" s="34">
        <f>K150/(1+L149)^L147</f>
        <v/>
      </c>
      <c r="M150" s="34">
        <f>L150/(1+M149)^M147</f>
        <v/>
      </c>
      <c r="N150" s="34">
        <f>M150/(1+N149)^N147</f>
        <v/>
      </c>
      <c r="O150" s="34">
        <f>N150/(1+O149)^O147</f>
        <v/>
      </c>
      <c r="P150" s="34">
        <f>O150/(1+P149)^P147</f>
        <v/>
      </c>
      <c r="Q150" s="34">
        <f>P150/(1+Q149)^Q147</f>
        <v/>
      </c>
      <c r="R150" s="34">
        <f>Q150/(1+R149)^R147</f>
        <v/>
      </c>
    </row>
    <row r="151">
      <c r="A151" s="3" t="inlineStr">
        <is>
          <t>EBIT</t>
        </is>
      </c>
      <c r="I151" s="20">
        <f>I35+I33</f>
        <v/>
      </c>
      <c r="J151" s="20">
        <f>J35+J33</f>
        <v/>
      </c>
      <c r="K151" s="20">
        <f>K35+K33</f>
        <v/>
      </c>
      <c r="L151" s="20">
        <f>L35+L33</f>
        <v/>
      </c>
      <c r="M151" s="20">
        <f>M35+M33</f>
        <v/>
      </c>
      <c r="N151" s="20">
        <f>N35+N33</f>
        <v/>
      </c>
      <c r="O151" s="20">
        <f>O35+O33</f>
        <v/>
      </c>
      <c r="P151" s="20">
        <f>P35+P33</f>
        <v/>
      </c>
      <c r="Q151" s="20">
        <f>Q35+Q33</f>
        <v/>
      </c>
      <c r="R151" s="20">
        <f>R35+R33</f>
        <v/>
      </c>
    </row>
    <row r="152">
      <c r="A152" s="3" t="inlineStr">
        <is>
          <t>Less: Cash Taxes (unlevered)</t>
        </is>
      </c>
      <c r="I152" s="20">
        <f>-MAX(I151,0)*I14</f>
        <v/>
      </c>
      <c r="J152" s="20">
        <f>-MAX(J151,0)*J14</f>
        <v/>
      </c>
      <c r="K152" s="20">
        <f>-MAX(K151,0)*K14</f>
        <v/>
      </c>
      <c r="L152" s="20">
        <f>-MAX(L151,0)*L14</f>
        <v/>
      </c>
      <c r="M152" s="20">
        <f>-MAX(M151,0)*M14</f>
        <v/>
      </c>
      <c r="N152" s="20">
        <f>-MAX(N151,0)*N14</f>
        <v/>
      </c>
      <c r="O152" s="20">
        <f>-MAX(O151,0)*O14</f>
        <v/>
      </c>
      <c r="P152" s="20">
        <f>-MAX(P151,0)*P14</f>
        <v/>
      </c>
      <c r="Q152" s="20">
        <f>-MAX(Q151,0)*Q14</f>
        <v/>
      </c>
      <c r="R152" s="20">
        <f>-MAX(R151,0)*R14</f>
        <v/>
      </c>
    </row>
    <row r="153">
      <c r="A153" s="3" t="inlineStr">
        <is>
          <t>Plus: D&amp;A</t>
        </is>
      </c>
      <c r="I153" s="20">
        <f>I32</f>
        <v/>
      </c>
      <c r="J153" s="20">
        <f>J32</f>
        <v/>
      </c>
      <c r="K153" s="20">
        <f>K32</f>
        <v/>
      </c>
      <c r="L153" s="20">
        <f>L32</f>
        <v/>
      </c>
      <c r="M153" s="20">
        <f>M32</f>
        <v/>
      </c>
      <c r="N153" s="20">
        <f>N32</f>
        <v/>
      </c>
      <c r="O153" s="20">
        <f>O32</f>
        <v/>
      </c>
      <c r="P153" s="20">
        <f>P32</f>
        <v/>
      </c>
      <c r="Q153" s="20">
        <f>Q32</f>
        <v/>
      </c>
      <c r="R153" s="20">
        <f>R32</f>
        <v/>
      </c>
    </row>
    <row r="154">
      <c r="A154" s="3" t="inlineStr">
        <is>
          <t>Less: Capex</t>
        </is>
      </c>
      <c r="I154" s="20">
        <f>-I97</f>
        <v/>
      </c>
      <c r="J154" s="20">
        <f>-J97</f>
        <v/>
      </c>
      <c r="K154" s="20">
        <f>-K97</f>
        <v/>
      </c>
      <c r="L154" s="20">
        <f>-L97</f>
        <v/>
      </c>
      <c r="M154" s="20">
        <f>-M97</f>
        <v/>
      </c>
      <c r="N154" s="20">
        <f>-N97</f>
        <v/>
      </c>
      <c r="O154" s="20">
        <f>-O97</f>
        <v/>
      </c>
      <c r="P154" s="20">
        <f>-P97</f>
        <v/>
      </c>
      <c r="Q154" s="20">
        <f>-Q97</f>
        <v/>
      </c>
      <c r="R154" s="20">
        <f>-R97</f>
        <v/>
      </c>
    </row>
    <row r="155">
      <c r="A155" s="3" t="inlineStr">
        <is>
          <t>Less: Change in NWC</t>
        </is>
      </c>
      <c r="I155" s="20">
        <f>-I93</f>
        <v/>
      </c>
      <c r="J155" s="20">
        <f>-J93</f>
        <v/>
      </c>
      <c r="K155" s="20">
        <f>-K93</f>
        <v/>
      </c>
      <c r="L155" s="20">
        <f>-L93</f>
        <v/>
      </c>
      <c r="M155" s="20">
        <f>-M93</f>
        <v/>
      </c>
      <c r="N155" s="20">
        <f>-N93</f>
        <v/>
      </c>
      <c r="O155" s="20">
        <f>-O93</f>
        <v/>
      </c>
      <c r="P155" s="20">
        <f>-P93</f>
        <v/>
      </c>
      <c r="Q155" s="20">
        <f>-Q93</f>
        <v/>
      </c>
      <c r="R155" s="20">
        <f>-R93</f>
        <v/>
      </c>
    </row>
    <row r="156">
      <c r="A156" s="2" t="inlineStr">
        <is>
          <t>Unlevered FCF</t>
        </is>
      </c>
      <c r="I156" s="24">
        <f>SUM(I151:I155)</f>
        <v/>
      </c>
      <c r="J156" s="24">
        <f>SUM(J151:J155)</f>
        <v/>
      </c>
      <c r="K156" s="24">
        <f>SUM(K151:K155)</f>
        <v/>
      </c>
      <c r="L156" s="24">
        <f>SUM(L151:L155)</f>
        <v/>
      </c>
      <c r="M156" s="24">
        <f>SUM(M151:M155)</f>
        <v/>
      </c>
      <c r="N156" s="24">
        <f>SUM(N151:N155)</f>
        <v/>
      </c>
      <c r="O156" s="24">
        <f>SUM(O151:O155)</f>
        <v/>
      </c>
      <c r="P156" s="24">
        <f>SUM(P151:P155)</f>
        <v/>
      </c>
      <c r="Q156" s="24">
        <f>SUM(Q151:Q155)</f>
        <v/>
      </c>
      <c r="R156" s="24">
        <f>SUM(R151:R155)</f>
        <v/>
      </c>
    </row>
    <row r="157">
      <c r="A157" s="3" t="inlineStr">
        <is>
          <t>(Entry)/Exit</t>
        </is>
      </c>
      <c r="H157" s="20">
        <f>-($D$140+$H$52-$H$44)</f>
        <v/>
      </c>
      <c r="S157" s="20">
        <f>$D$164</f>
        <v/>
      </c>
    </row>
    <row r="158">
      <c r="A158" s="3" t="inlineStr">
        <is>
          <t>Transaction CF</t>
        </is>
      </c>
      <c r="H158" s="27" t="n">
        <v>0</v>
      </c>
      <c r="I158" s="27">
        <f>I156*I147</f>
        <v/>
      </c>
      <c r="J158" s="27">
        <f>J156*J147</f>
        <v/>
      </c>
      <c r="K158" s="27">
        <f>K156*K147</f>
        <v/>
      </c>
      <c r="L158" s="27">
        <f>L156*L147</f>
        <v/>
      </c>
      <c r="M158" s="27">
        <f>M156*M147</f>
        <v/>
      </c>
      <c r="N158" s="27">
        <f>N156*N147</f>
        <v/>
      </c>
      <c r="O158" s="27">
        <f>O156*O147</f>
        <v/>
      </c>
      <c r="P158" s="27">
        <f>P156*P147</f>
        <v/>
      </c>
      <c r="Q158" s="27">
        <f>Q156*Q147</f>
        <v/>
      </c>
      <c r="R158" s="27">
        <f>R156*R147</f>
        <v/>
      </c>
      <c r="S158" s="27">
        <f>S157</f>
        <v/>
      </c>
    </row>
    <row r="159">
      <c r="A159" s="3" t="inlineStr">
        <is>
          <t>Transaction CF</t>
        </is>
      </c>
      <c r="H159" s="20">
        <f>H157</f>
        <v/>
      </c>
      <c r="I159" s="20">
        <f>I158</f>
        <v/>
      </c>
      <c r="J159" s="20">
        <f>J158</f>
        <v/>
      </c>
      <c r="K159" s="20">
        <f>K158</f>
        <v/>
      </c>
      <c r="L159" s="20">
        <f>L158</f>
        <v/>
      </c>
      <c r="M159" s="20">
        <f>M158</f>
        <v/>
      </c>
      <c r="N159" s="20">
        <f>N158</f>
        <v/>
      </c>
      <c r="O159" s="20">
        <f>O158</f>
        <v/>
      </c>
      <c r="P159" s="20">
        <f>P158</f>
        <v/>
      </c>
      <c r="Q159" s="20">
        <f>Q158</f>
        <v/>
      </c>
      <c r="R159" s="20">
        <f>R158</f>
        <v/>
      </c>
      <c r="S159" s="20">
        <f>S158</f>
        <v/>
      </c>
    </row>
    <row r="161">
      <c r="A161" s="16" t="inlineStr">
        <is>
          <t>Terminal Value</t>
        </is>
      </c>
      <c r="B161" s="17" t="n"/>
      <c r="C161" s="17" t="n"/>
      <c r="D161" s="17" t="n"/>
      <c r="E161" s="17" t="n"/>
      <c r="F161" s="17" t="n"/>
      <c r="G161" s="17" t="n"/>
      <c r="H161" s="17" t="n"/>
      <c r="I161" s="17" t="n"/>
      <c r="J161" s="17" t="n"/>
      <c r="K161" s="17" t="n"/>
      <c r="L161" s="17" t="n"/>
      <c r="M161" s="17" t="n"/>
      <c r="N161" s="17" t="n"/>
      <c r="O161" s="17" t="n"/>
      <c r="P161" s="17" t="n"/>
      <c r="Q161" s="17" t="n"/>
      <c r="R161" s="17" t="n"/>
      <c r="S161" s="17" t="n"/>
    </row>
    <row r="162">
      <c r="A162" s="3" t="inlineStr">
        <is>
          <t>Perpetual Growth</t>
        </is>
      </c>
      <c r="D162" s="20">
        <f>R156*(1+$D$138)/(R149-$D$138)</f>
        <v/>
      </c>
    </row>
    <row r="163">
      <c r="A163" s="3" t="inlineStr">
        <is>
          <t>EV/EBITDA</t>
        </is>
      </c>
      <c r="D163" s="35">
        <f>$D$139*(R151+R153)</f>
        <v/>
      </c>
    </row>
    <row r="164">
      <c r="A164" s="2" t="inlineStr">
        <is>
          <t>Average</t>
        </is>
      </c>
      <c r="D164" s="23">
        <f>AVERAGE(D162:D163)</f>
        <v/>
      </c>
    </row>
    <row r="165">
      <c r="A165" s="3" t="inlineStr">
        <is>
          <t>Perpetuity TV implied EV/EBITDA (vs assumed, vs spot)</t>
        </is>
      </c>
      <c r="D165" s="36">
        <f>D162/(R151+R153)</f>
        <v/>
      </c>
      <c r="E165" s="36">
        <f>$D$139</f>
        <v/>
      </c>
      <c r="F165" s="1" t="inlineStr">
        <is>
          <t>compare to the company's CURRENT spot multiple - this one number explains most verdicts</t>
        </is>
      </c>
    </row>
    <row r="166">
      <c r="A166" s="16" t="inlineStr">
        <is>
          <t>Intrinsic Value</t>
        </is>
      </c>
      <c r="B166" s="17" t="n"/>
      <c r="C166" s="17" t="n"/>
      <c r="D166" s="17" t="n"/>
      <c r="E166" s="17" t="n"/>
      <c r="F166" s="17" t="n"/>
      <c r="G166" s="17" t="n"/>
      <c r="H166" s="17" t="n"/>
      <c r="I166" s="17" t="n"/>
      <c r="J166" s="17" t="n"/>
      <c r="K166" s="17" t="n"/>
      <c r="L166" s="17" t="n"/>
      <c r="M166" s="17" t="n"/>
      <c r="N166" s="17" t="n"/>
      <c r="O166" s="17" t="n"/>
      <c r="P166" s="17" t="n"/>
      <c r="Q166" s="17" t="n"/>
      <c r="R166" s="17" t="n"/>
      <c r="S166" s="17" t="n"/>
    </row>
    <row r="167">
      <c r="A167" s="3" t="inlineStr">
        <is>
          <t>Enterprise Value</t>
        </is>
      </c>
      <c r="D167" s="20">
        <f>SUMPRODUCT(I158:R158,I150:R150)+S158*R150</f>
        <v/>
      </c>
    </row>
    <row r="168">
      <c r="A168" s="3" t="inlineStr">
        <is>
          <t>Plus: Cash</t>
        </is>
      </c>
      <c r="D168" s="20">
        <f>H44</f>
        <v/>
      </c>
    </row>
    <row r="169">
      <c r="A169" s="3" t="inlineStr">
        <is>
          <t>Less: Debt</t>
        </is>
      </c>
      <c r="D169" s="35">
        <f>H52</f>
        <v/>
      </c>
    </row>
    <row r="170">
      <c r="A170" s="2" t="inlineStr">
        <is>
          <t>Equity Value</t>
        </is>
      </c>
      <c r="D170" s="23">
        <f>D167+D168-D169</f>
        <v/>
      </c>
    </row>
    <row r="171">
      <c r="A171" s="2" t="inlineStr">
        <is>
          <t>Intrinsic Value/Share</t>
        </is>
      </c>
      <c r="D171" s="23">
        <f>D170/$D$136</f>
        <v/>
      </c>
    </row>
    <row r="172">
      <c r="A172" s="37" t="inlineStr">
        <is>
          <t>FORECAST SUPERSEDED - true-up 06-Aug-2026 scored FY26E revenue +14.4% BELOW reported (Q2-26, 29-Jul); EBIT PASSED at -1.5%. Grade FLAG on the REVENUE axis only. The AI opex ramp consumed the entire revenue beat, so the margin assumption here was CORRECT - rebuild the top line only, do not lift margins. Value SUSPENDED.</t>
        </is>
      </c>
    </row>
    <row r="173">
      <c r="A173" s="16" t="inlineStr">
        <is>
          <t>Market Value</t>
        </is>
      </c>
      <c r="B173" s="17" t="n"/>
      <c r="C173" s="17" t="n"/>
      <c r="D173" s="17" t="n"/>
      <c r="E173" s="17" t="n"/>
      <c r="F173" s="17" t="n"/>
      <c r="G173" s="17" t="n"/>
      <c r="H173" s="17" t="n"/>
      <c r="I173" s="17" t="n"/>
      <c r="J173" s="17" t="n"/>
      <c r="K173" s="17" t="n"/>
      <c r="L173" s="17" t="n"/>
      <c r="M173" s="17" t="n"/>
      <c r="N173" s="17" t="n"/>
      <c r="O173" s="17" t="n"/>
      <c r="P173" s="17" t="n"/>
      <c r="Q173" s="17" t="n"/>
      <c r="R173" s="17" t="n"/>
      <c r="S173" s="17" t="n"/>
    </row>
    <row r="174">
      <c r="A174" s="3" t="inlineStr">
        <is>
          <t>Market Cap</t>
        </is>
      </c>
      <c r="D174" s="20">
        <f>$D$137</f>
        <v/>
      </c>
    </row>
    <row r="175">
      <c r="A175" s="3" t="inlineStr">
        <is>
          <t>Plus: Debt</t>
        </is>
      </c>
      <c r="D175" s="20">
        <f>H52</f>
        <v/>
      </c>
    </row>
    <row r="176">
      <c r="A176" s="3" t="inlineStr">
        <is>
          <t>Less: Cash</t>
        </is>
      </c>
      <c r="D176" s="35">
        <f>H44</f>
        <v/>
      </c>
    </row>
    <row r="177">
      <c r="A177" s="2" t="inlineStr">
        <is>
          <t>Enterprise Value (entry)</t>
        </is>
      </c>
      <c r="D177" s="23">
        <f>D174+D175-D176</f>
        <v/>
      </c>
    </row>
    <row r="178">
      <c r="A178" s="2" t="inlineStr">
        <is>
          <t>Current Share Price</t>
        </is>
      </c>
      <c r="D178" s="23">
        <f>$D$135</f>
        <v/>
      </c>
    </row>
    <row r="179"/>
    <row r="180">
      <c r="A180" s="16" t="inlineStr">
        <is>
          <t>Rate of Return</t>
        </is>
      </c>
      <c r="B180" s="17" t="n"/>
      <c r="C180" s="17" t="n"/>
      <c r="D180" s="17" t="n"/>
      <c r="E180" s="17" t="n"/>
      <c r="F180" s="17" t="n"/>
      <c r="G180" s="17" t="n"/>
      <c r="H180" s="17" t="n"/>
      <c r="I180" s="17" t="n"/>
      <c r="J180" s="17" t="n"/>
      <c r="K180" s="17" t="n"/>
      <c r="L180" s="17" t="n"/>
      <c r="M180" s="17" t="n"/>
      <c r="N180" s="17" t="n"/>
      <c r="O180" s="17" t="n"/>
      <c r="P180" s="17" t="n"/>
      <c r="Q180" s="17" t="n"/>
      <c r="R180" s="17" t="n"/>
      <c r="S180" s="17" t="n"/>
    </row>
    <row r="181">
      <c r="A181" s="3" t="inlineStr">
        <is>
          <t>Target Price Upside</t>
        </is>
      </c>
      <c r="D181" s="38">
        <f>D171/$D$135-1</f>
        <v/>
      </c>
    </row>
    <row r="182">
      <c r="A182" s="3" t="inlineStr">
        <is>
          <t>Internal Rate of Return (IRR)</t>
        </is>
      </c>
      <c r="D182" s="38">
        <f>XIRR(H159:S159,H145:S145)</f>
        <v/>
      </c>
    </row>
    <row r="183">
      <c r="A183" s="2" t="inlineStr">
        <is>
          <t>Implied 10-yr Expected Annual Return</t>
        </is>
      </c>
      <c r="D183" s="39">
        <f>(($D$171/$D$135)^(1/10))*(1+AVERAGE(I149:R149))-1</f>
        <v/>
      </c>
      <c r="E183" s="1" t="inlineStr">
        <is>
          <t>WACC carry x fair-value convergence (FCF reinvested at WACC): at fair price this equals the WACC; a discount adds, a premium subtracts</t>
        </is>
      </c>
    </row>
    <row r="184">
      <c r="A184" s="16" t="inlineStr">
        <is>
          <t>Implied Market Cap Projection</t>
        </is>
      </c>
      <c r="B184" s="17" t="n"/>
      <c r="C184" s="17" t="n"/>
      <c r="D184" s="17" t="n"/>
      <c r="E184" s="17" t="n"/>
      <c r="F184" s="17" t="n"/>
      <c r="G184" s="17" t="n"/>
      <c r="H184" s="17" t="n"/>
      <c r="I184" s="17" t="n"/>
      <c r="J184" s="17" t="n"/>
      <c r="K184" s="17" t="n"/>
      <c r="L184" s="17" t="n"/>
      <c r="M184" s="17" t="n"/>
      <c r="N184" s="17" t="n"/>
      <c r="O184" s="17" t="n"/>
      <c r="P184" s="17" t="n"/>
      <c r="Q184" s="17" t="n"/>
      <c r="R184" s="17" t="n"/>
      <c r="S184" s="17" t="n"/>
    </row>
    <row r="185">
      <c r="A185" s="1" t="inlineStr">
        <is>
          <t>Fiscal Year</t>
        </is>
      </c>
      <c r="I185" s="32">
        <f>YEAR(I145)</f>
        <v/>
      </c>
      <c r="J185" s="32">
        <f>YEAR(J145)</f>
        <v/>
      </c>
      <c r="K185" s="32">
        <f>YEAR(K145)</f>
        <v/>
      </c>
      <c r="L185" s="32">
        <f>YEAR(L145)</f>
        <v/>
      </c>
      <c r="M185" s="32">
        <f>YEAR(M145)</f>
        <v/>
      </c>
      <c r="N185" s="32">
        <f>YEAR(N145)</f>
        <v/>
      </c>
      <c r="O185" s="32">
        <f>YEAR(O145)</f>
        <v/>
      </c>
      <c r="P185" s="32">
        <f>YEAR(P145)</f>
        <v/>
      </c>
      <c r="Q185" s="32">
        <f>YEAR(Q145)</f>
        <v/>
      </c>
      <c r="R185" s="32">
        <f>YEAR(R145)</f>
        <v/>
      </c>
    </row>
    <row r="186">
      <c r="A186" s="3" t="inlineStr">
        <is>
          <t>Implied Enterprise Value</t>
        </is>
      </c>
      <c r="I186" s="20">
        <f>$D$167*(1+I149)^I147-I158</f>
        <v/>
      </c>
      <c r="J186" s="20">
        <f>I186*(1+J149)^J147-J158</f>
        <v/>
      </c>
      <c r="K186" s="20">
        <f>J186*(1+K149)^K147-K158</f>
        <v/>
      </c>
      <c r="L186" s="20">
        <f>K186*(1+L149)^L147-L158</f>
        <v/>
      </c>
      <c r="M186" s="20">
        <f>L186*(1+M149)^M147-M158</f>
        <v/>
      </c>
      <c r="N186" s="20">
        <f>M186*(1+N149)^N147-N158</f>
        <v/>
      </c>
      <c r="O186" s="20">
        <f>N186*(1+O149)^O147-O158</f>
        <v/>
      </c>
      <c r="P186" s="20">
        <f>O186*(1+P149)^P147-P158</f>
        <v/>
      </c>
      <c r="Q186" s="20">
        <f>P186*(1+Q149)^Q147-Q158</f>
        <v/>
      </c>
      <c r="R186" s="20">
        <f>Q186*(1+R149)^R147-R158</f>
        <v/>
      </c>
    </row>
    <row r="187">
      <c r="A187" s="2" t="inlineStr">
        <is>
          <t>Implied Market Cap</t>
        </is>
      </c>
      <c r="I187" s="23">
        <f>I186+$H$44-$H$52</f>
        <v/>
      </c>
      <c r="J187" s="23">
        <f>J186+$H$44-$H$52</f>
        <v/>
      </c>
      <c r="K187" s="23">
        <f>K186+$H$44-$H$52</f>
        <v/>
      </c>
      <c r="L187" s="23">
        <f>L186+$H$44-$H$52</f>
        <v/>
      </c>
      <c r="M187" s="23">
        <f>M186+$H$44-$H$52</f>
        <v/>
      </c>
      <c r="N187" s="23">
        <f>N186+$H$44-$H$52</f>
        <v/>
      </c>
      <c r="O187" s="23">
        <f>O186+$H$44-$H$52</f>
        <v/>
      </c>
      <c r="P187" s="23">
        <f>P186+$H$44-$H$52</f>
        <v/>
      </c>
      <c r="Q187" s="23">
        <f>Q186+$H$44-$H$52</f>
        <v/>
      </c>
      <c r="R187" s="23">
        <f>R186+$H$44-$H$52</f>
        <v/>
      </c>
    </row>
    <row r="188">
      <c r="A188" s="3" t="inlineStr">
        <is>
          <t>Implied Value/Share</t>
        </is>
      </c>
      <c r="I188" s="20">
        <f>I187/$D$136</f>
        <v/>
      </c>
      <c r="J188" s="20">
        <f>J187/$D$136</f>
        <v/>
      </c>
      <c r="K188" s="20">
        <f>K187/$D$136</f>
        <v/>
      </c>
      <c r="L188" s="20">
        <f>L187/$D$136</f>
        <v/>
      </c>
      <c r="M188" s="20">
        <f>M187/$D$136</f>
        <v/>
      </c>
      <c r="N188" s="20">
        <f>N187/$D$136</f>
        <v/>
      </c>
      <c r="O188" s="20">
        <f>O187/$D$136</f>
        <v/>
      </c>
      <c r="P188" s="20">
        <f>P187/$D$136</f>
        <v/>
      </c>
      <c r="Q188" s="20">
        <f>Q187/$D$136</f>
        <v/>
      </c>
      <c r="R188" s="20">
        <f>R187/$D$136</f>
        <v/>
      </c>
    </row>
    <row r="189">
      <c r="A189" s="1" t="inlineStr">
        <is>
          <t>Value accretes at each year's WACC less FCF generated; net debt held constant. Model-implied path, not a prediction. If share count changes, compare PER-SHARE values.</t>
        </is>
      </c>
    </row>
    <row r="190">
      <c r="A190" s="1" t="inlineStr">
        <is>
          <t>Stated simplifications: no interest income on accumulating cash (conservative); unlevered DCF taxes EBIT fully - NOL benefit appears in Net Earnings only; net-debt bridge uses the latest reported balance sheet - swap in the newest interim BS when published. Late-year balance-sheet ratios (ROE/ROA/BVPS) are distorted by the accumulating-cash assumption - directional only.</t>
        </is>
      </c>
    </row>
    <row r="191">
      <c r="A191" s="12" t="inlineStr">
        <is>
          <t>ESTIMATED FIGURES - not read from a filing:</t>
        </is>
      </c>
    </row>
    <row r="192">
      <c r="A192" s="1" t="inlineStr">
        <is>
          <t xml:space="preserve">  none - every historical figure above was read from the source statements.</t>
        </is>
      </c>
    </row>
    <row r="196"/>
    <row r="197" hidden="1"/>
    <row r="198" hidden="1"/>
    <row r="199" hidden="1"/>
    <row r="200">
      <c r="A200" s="40" t="inlineStr">
        <is>
          <t>Catalyst Odds (judgmental - the odds ARE the thesis; news scan as-of in attestation)</t>
        </is>
      </c>
    </row>
    <row r="201">
      <c r="A201" s="2" t="inlineStr">
        <is>
          <t>Catalyst</t>
        </is>
      </c>
      <c r="F201" s="2" t="inlineStr">
        <is>
          <t>Odds</t>
        </is>
      </c>
      <c r="G201" s="2" t="inlineStr">
        <is>
          <t>Read</t>
        </is>
      </c>
    </row>
    <row r="202">
      <c r="A202" s="3" t="inlineStr">
        <is>
          <t>Iris in-house AI chip enters production Sept-2026</t>
        </is>
      </c>
      <c r="F202" s="19" t="n">
        <v>0.7</v>
      </c>
      <c r="G202" s="1" t="inlineStr">
        <is>
          <t>Cuts compute cost/unit; the margin lever</t>
        </is>
      </c>
    </row>
    <row r="203">
      <c r="A203" s="3" t="inlineStr">
        <is>
          <t>Compute capacity doubles to 14GW on plan</t>
        </is>
      </c>
      <c r="F203" s="19" t="n">
        <v>0.6</v>
      </c>
      <c r="G203" s="1" t="inlineStr">
        <is>
          <t>Capacity is the revenue ceiling for resale</t>
        </is>
      </c>
    </row>
    <row r="204">
      <c r="A204" s="3" t="inlineStr">
        <is>
          <t>Selling excess compute to external customers scales</t>
        </is>
      </c>
      <c r="F204" s="19" t="n">
        <v>0.45</v>
      </c>
      <c r="G204" s="1" t="inlineStr">
        <is>
          <t>NEW revenue line the deck does not model - pure upside</t>
        </is>
      </c>
    </row>
    <row r="205">
      <c r="A205" s="3" t="inlineStr">
        <is>
          <t>AI capex earns its return (sales-to-capital holds)</t>
        </is>
      </c>
      <c r="F205" s="19" t="n">
        <v>0.5</v>
      </c>
      <c r="G205" s="1" t="inlineStr">
        <is>
          <t>THE swing node - the deck's biggest conditional</t>
        </is>
      </c>
    </row>
    <row r="206">
      <c r="A206" s="3" t="inlineStr">
        <is>
          <t>Ad revenue growth holds double digits</t>
        </is>
      </c>
      <c r="F206" s="19" t="n">
        <v>0.75</v>
      </c>
      <c r="G206" s="1" t="inlineStr">
        <is>
          <t>The cash engine funding everything else</t>
        </is>
      </c>
    </row>
    <row r="212"/>
    <row r="213"/>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c r="A244" s="13" t="inlineStr">
        <is>
          <t>Cost of Capital Build - the discount rate is DERIVED here, not asserted</t>
        </is>
      </c>
      <c r="B244" s="14" t="n"/>
      <c r="C244" s="14" t="n"/>
      <c r="D244" s="14" t="n"/>
      <c r="E244" s="14" t="n"/>
      <c r="F244" s="14" t="n"/>
      <c r="G244" s="14" t="n"/>
      <c r="H244" s="14" t="n"/>
      <c r="I244" s="14" t="n"/>
      <c r="J244" s="14" t="n"/>
      <c r="K244" s="14" t="n"/>
      <c r="L244" s="14" t="n"/>
      <c r="M244" s="14" t="n"/>
      <c r="N244" s="14" t="n"/>
      <c r="O244" s="14" t="n"/>
      <c r="P244" s="14" t="n"/>
      <c r="Q244" s="14" t="n"/>
      <c r="R244" s="14" t="n"/>
      <c r="S244" s="14" t="n"/>
    </row>
    <row r="245">
      <c r="A245" s="3" t="inlineStr">
        <is>
          <t>Government bond yield (United States 10Y, as-of 2026-07-17)</t>
        </is>
      </c>
      <c r="D245" s="29" t="n">
        <v>0.0455</v>
      </c>
    </row>
    <row r="246">
      <c r="A246" s="3" t="inlineStr">
        <is>
          <t>Less: sovereign default spread (Aa1)</t>
        </is>
      </c>
      <c r="D246" s="29" t="n">
        <v>-0.0023</v>
      </c>
    </row>
    <row r="247">
      <c r="A247" s="3" t="inlineStr">
        <is>
          <t>RISK-FREE RATE in USD (bond yield less sovereign spread)</t>
        </is>
      </c>
      <c r="D247" s="29" t="n">
        <v>0.0432</v>
      </c>
    </row>
    <row r="248">
      <c r="A248" s="3" t="inlineStr">
        <is>
          <t>Equity risk premium (Damodaran country ERP table, last updated Jan-2026 (stern.nyu.edu/~adamodar), fetched 2026-07-19)</t>
        </is>
      </c>
      <c r="D248" s="29" t="n">
        <v>0.0446</v>
      </c>
    </row>
    <row r="249">
      <c r="A249" s="3" t="inlineStr">
        <is>
          <t>Implied MARKET RETURN  Rm = rf + ERP</t>
        </is>
      </c>
      <c r="D249" s="29" t="n">
        <v>0.0878</v>
      </c>
    </row>
    <row r="250">
      <c r="A250" s="3" t="inlineStr">
        <is>
          <t>Country risk premium (already inside the ERP above)</t>
        </is>
      </c>
      <c r="D250" s="29" t="n">
        <v>0</v>
      </c>
    </row>
    <row r="251">
      <c r="A251" s="3" t="inlineStr">
        <is>
          <t>Levered beta (adjusted)  [raw 1.246]</t>
        </is>
      </c>
      <c r="D251" s="4" t="n">
        <v>1.165</v>
      </c>
    </row>
    <row r="252">
      <c r="A252" s="3" t="inlineStr">
        <is>
          <t>Size / illiquidity premium</t>
        </is>
      </c>
      <c r="D252" s="29" t="n">
        <v>0</v>
      </c>
    </row>
    <row r="253">
      <c r="A253" s="2" t="inlineStr">
        <is>
          <t>Cost of equity = rf + beta x (ERP + CRP) + size premium</t>
        </is>
      </c>
      <c r="D253" s="41">
        <f>D247+D251*D248+D252</f>
        <v/>
      </c>
      <c r="F253" s="1" t="inlineStr">
        <is>
          <t>Year-1 WACC used in the DCF grid (row 149) - cross-check they agree; the grid fades toward the mature rate.</t>
        </is>
      </c>
    </row>
    <row r="254">
      <c r="A254" s="3" t="inlineStr">
        <is>
          <t>Cost of debt - pre-tax (marginal, = rf + credit spread)</t>
        </is>
      </c>
      <c r="D254" s="29" t="n">
        <v>0.04919999999999999</v>
      </c>
      <c r="F254" s="1" t="inlineStr">
        <is>
          <t>marginal: rf-equivalent + credit spread; after-tax at the MARGINAL rate 25% (not the effective rate)</t>
        </is>
      </c>
    </row>
    <row r="255">
      <c r="A255" s="3" t="inlineStr">
        <is>
          <t>Cost of debt - after tax  = pre-tax x (1 - tax rate)</t>
        </is>
      </c>
      <c r="D255" s="42" t="n">
        <v>0.0369</v>
      </c>
    </row>
    <row r="256">
      <c r="A256" s="2" t="inlineStr">
        <is>
          <t>WACC = CoE x (1-Wd) + Kd(after-tax) x Wd</t>
        </is>
      </c>
      <c r="D256" s="41">
        <f>D253*(1-D262)+D255*D262</f>
        <v/>
      </c>
    </row>
    <row r="257">
      <c r="A257" s="1" t="inlineStr">
        <is>
          <t>Terminal growth vs risk-free</t>
        </is>
      </c>
      <c r="D257" s="43">
        <f>$D$138-D247</f>
        <v/>
      </c>
      <c r="F257" s="1" t="inlineStr">
        <is>
          <t>Damodaran convention for MATURE-MARKET compounders: terminal g = the risk-free rate (an economy cannot outgrow its own bond) - a gap there means one input is stale. For declining or finite-resource industries (coal, EM cyclicals) terminal g SHOULD sit well below rf; the gap is then deliberate, not an error.</t>
        </is>
      </c>
    </row>
    <row r="258">
      <c r="A258" s="3" t="inlineStr">
        <is>
          <t>Additional premium: none - the model discounts at the derived build</t>
        </is>
      </c>
      <c r="D258" s="29" t="n">
        <v>0</v>
      </c>
    </row>
    <row r="259">
      <c r="A259" s="2" t="inlineStr">
        <is>
          <t>WACC USED IN THE MODEL (build + named premium)</t>
        </is>
      </c>
      <c r="D259" s="41">
        <f>D256+D258</f>
        <v/>
      </c>
    </row>
    <row r="260">
      <c r="A260" s="1" t="inlineStr">
        <is>
          <t>Tie-out vs the DCF grid (year-1 WACC, row 149)</t>
        </is>
      </c>
      <c r="D260" s="43">
        <f>I149-D259</f>
        <v/>
      </c>
      <c r="F260" s="1" t="inlineStr">
        <is>
          <t>Must be 0.00%. A non-zero tie-out means the discount rate is asserted, not derived - any premium above the CAPM build must be NAMED above, never silent.</t>
        </is>
      </c>
    </row>
    <row r="261">
      <c r="A261" s="2" t="inlineStr">
        <is>
          <t>Capital structure at MARKET values</t>
        </is>
      </c>
    </row>
    <row r="262">
      <c r="A262" s="3" t="inlineStr">
        <is>
          <t>Weight of debt   Wd = D / (D + E)</t>
        </is>
      </c>
      <c r="D262" s="29" t="n">
        <v>0.0487</v>
      </c>
      <c r="F262" s="1" t="inlineStr">
        <is>
          <t>market values: gross debt 83.9 / (debt + mcap 1,639.6)</t>
        </is>
      </c>
    </row>
    <row r="263">
      <c r="A263" s="2" t="inlineStr">
        <is>
          <t>Weight of equity We = 1 - Wd</t>
        </is>
      </c>
      <c r="D263" s="41">
        <f>1-D262</f>
        <v/>
      </c>
    </row>
    <row r="264">
      <c r="A264" s="1" t="inlineStr">
        <is>
          <t>Check: We + Wd must equal 100%</t>
        </is>
      </c>
      <c r="D264" s="43">
        <f>D262+D263</f>
        <v/>
      </c>
    </row>
    <row r="265">
      <c r="A265" s="3" t="inlineStr">
        <is>
          <t>Equity contribution  = CoE x We</t>
        </is>
      </c>
      <c r="D265" s="42">
        <f>D253*D263</f>
        <v/>
      </c>
    </row>
    <row r="266">
      <c r="A266" s="3" t="inlineStr">
        <is>
          <t>Debt contribution    = Kd(after-tax) x Wd</t>
        </is>
      </c>
      <c r="D266" s="42">
        <f>D255*D262</f>
        <v/>
      </c>
    </row>
    <row r="267">
      <c r="A267" s="2" t="inlineStr">
        <is>
          <t>Sum = WACC (must equal the build above)</t>
        </is>
      </c>
      <c r="D267" s="41">
        <f>D265+D266</f>
        <v/>
      </c>
    </row>
    <row r="268">
      <c r="A268" s="1" t="inlineStr">
        <is>
          <t>Debt weight uses GROSS debt at book vs equity at MARKET (standard); a net-debt weight would be negative for net-cash names and is not used. Cost of debt is the MARGINAL rate today, not the legacy coupon - old ZIRP-era bonds understate what new borrowing costs and must never set the WACC.</t>
        </is>
      </c>
    </row>
    <row r="269"/>
    <row r="270">
      <c r="A270" s="13" t="inlineStr">
        <is>
          <t>Guards Fired &amp; Responses (audit trail - the workbook outlives the conversation)</t>
        </is>
      </c>
      <c r="B270" s="14" t="n"/>
      <c r="C270" s="14" t="n"/>
      <c r="D270" s="14" t="n"/>
      <c r="E270" s="14" t="n"/>
      <c r="F270" s="14" t="n"/>
      <c r="G270" s="14" t="n"/>
      <c r="H270" s="14" t="n"/>
      <c r="I270" s="14" t="n"/>
      <c r="J270" s="14" t="n"/>
      <c r="K270" s="14" t="n"/>
      <c r="L270" s="14" t="n"/>
      <c r="M270" s="14" t="n"/>
      <c r="N270" s="14" t="n"/>
      <c r="O270" s="14" t="n"/>
      <c r="P270" s="14" t="n"/>
      <c r="Q270" s="14" t="n"/>
      <c r="R270" s="14" t="n"/>
      <c r="S270" s="14" t="n"/>
    </row>
    <row r="271">
      <c r="A271" s="1" t="inlineStr">
        <is>
          <t>Every warning the build-time verify fired, with the analyst's one-line response. UNANSWERED = ship-blocking.</t>
        </is>
      </c>
    </row>
    <row r="272"/>
    <row r="273">
      <c r="A273" s="37" t="inlineStr">
        <is>
          <t>! TEMPLATE FADE: revenue growth declines from 14.0% to 4.5% with no year decelerating materially more than any other (largest step only 1.4x the average). Nothing HAPPENS anywhere in this forecast. A st</t>
        </is>
      </c>
    </row>
    <row r="274">
      <c r="A274" s="1" t="inlineStr">
        <is>
          <t>Response: ACCEPTED, NOT FIXED - the 06-Aug-2026 true-up scored this deck's forecast and it FAILED (see the suspension notice under the intrinsic value). The fade is the identified root cause. It is deliberately NOT patched by raising growth to match reported results - that would be calibrating to outcomes. The growth path will be rebuilt from each segment's own drivers, and the value on this sheet is suspended until it is.</t>
        </is>
      </c>
    </row>
    <row r="275">
      <c r="A275" s="44" t="inlineStr">
        <is>
          <t>! NWC PERPETUAL SOURCE: working capital releases cash every single year (&gt;1% of revenue cumulative)</t>
        </is>
      </c>
      <c r="B275" s="14" t="n"/>
      <c r="C275" s="14" t="n"/>
      <c r="D275" s="14" t="n"/>
      <c r="E275" s="14" t="n"/>
      <c r="F275" s="14" t="n"/>
      <c r="G275" s="14" t="n"/>
      <c r="H275" s="14" t="n"/>
      <c r="I275" s="14" t="n"/>
      <c r="J275" s="14" t="n"/>
      <c r="K275" s="14" t="n"/>
      <c r="L275" s="14" t="n"/>
      <c r="M275" s="14" t="n"/>
      <c r="N275" s="14" t="n"/>
      <c r="O275" s="14" t="n"/>
      <c r="P275" s="14" t="n"/>
      <c r="Q275" s="14" t="n"/>
      <c r="R275" s="14" t="n"/>
      <c r="S275" s="14" t="n"/>
    </row>
    <row r="276">
      <c r="A276" s="1" t="inlineStr">
        <is>
          <t>Response: Deferred revenue + payables float scale with the AI-hardware buildout; direction structural, magnitude on the broad folded payables line - directional.</t>
        </is>
      </c>
    </row>
    <row r="277">
      <c r="A277" s="3" t="inlineStr">
        <is>
          <t>Revenue</t>
        </is>
      </c>
      <c r="D277" s="20">
        <f>D26</f>
        <v/>
      </c>
      <c r="E277" s="20">
        <f>E26</f>
        <v/>
      </c>
      <c r="F277" s="20">
        <f>F26</f>
        <v/>
      </c>
      <c r="G277" s="20">
        <f>G26</f>
        <v/>
      </c>
      <c r="H277" s="20">
        <f>H26</f>
        <v/>
      </c>
      <c r="I277" s="20">
        <f>I26</f>
        <v/>
      </c>
      <c r="J277" s="20">
        <f>J26</f>
        <v/>
      </c>
      <c r="K277" s="20">
        <f>K26</f>
        <v/>
      </c>
      <c r="L277" s="20">
        <f>L26</f>
        <v/>
      </c>
      <c r="M277" s="20">
        <f>M26</f>
        <v/>
      </c>
      <c r="N277" s="20">
        <f>N26</f>
        <v/>
      </c>
      <c r="O277" s="20">
        <f>O26</f>
        <v/>
      </c>
      <c r="P277" s="20">
        <f>P26</f>
        <v/>
      </c>
      <c r="Q277" s="20">
        <f>Q26</f>
        <v/>
      </c>
      <c r="R277" s="20">
        <f>R26</f>
        <v/>
      </c>
    </row>
    <row r="278">
      <c r="A278" s="3" t="inlineStr">
        <is>
          <t>Gross Profit Margin (%)</t>
        </is>
      </c>
      <c r="D278" s="18">
        <f>D28/D26</f>
        <v/>
      </c>
      <c r="E278" s="18">
        <f>E28/E26</f>
        <v/>
      </c>
      <c r="F278" s="18">
        <f>F28/F26</f>
        <v/>
      </c>
      <c r="G278" s="18">
        <f>G28/G26</f>
        <v/>
      </c>
      <c r="H278" s="18">
        <f>H28/H26</f>
        <v/>
      </c>
      <c r="I278" s="18">
        <f>I28/I26</f>
        <v/>
      </c>
      <c r="J278" s="18">
        <f>J28/J26</f>
        <v/>
      </c>
      <c r="K278" s="18">
        <f>K28/K26</f>
        <v/>
      </c>
      <c r="L278" s="18">
        <f>L28/L26</f>
        <v/>
      </c>
      <c r="M278" s="18">
        <f>M28/M26</f>
        <v/>
      </c>
      <c r="N278" s="18">
        <f>N28/N26</f>
        <v/>
      </c>
      <c r="O278" s="18">
        <f>O28/O26</f>
        <v/>
      </c>
      <c r="P278" s="18">
        <f>P28/P26</f>
        <v/>
      </c>
      <c r="Q278" s="18">
        <f>Q28/Q26</f>
        <v/>
      </c>
      <c r="R278" s="18">
        <f>R28/R26</f>
        <v/>
      </c>
    </row>
    <row r="280">
      <c r="A280" s="3" t="inlineStr">
        <is>
          <t>Operating Cash Flow</t>
        </is>
      </c>
      <c r="E280" s="20">
        <f>E69</f>
        <v/>
      </c>
      <c r="F280" s="20">
        <f>F69</f>
        <v/>
      </c>
      <c r="G280" s="20">
        <f>G69</f>
        <v/>
      </c>
      <c r="H280" s="20">
        <f>H69</f>
        <v/>
      </c>
      <c r="I280" s="20">
        <f>I69</f>
        <v/>
      </c>
      <c r="J280" s="20">
        <f>J69</f>
        <v/>
      </c>
      <c r="K280" s="20">
        <f>K69</f>
        <v/>
      </c>
      <c r="L280" s="20">
        <f>L69</f>
        <v/>
      </c>
      <c r="M280" s="20">
        <f>M69</f>
        <v/>
      </c>
      <c r="N280" s="20">
        <f>N69</f>
        <v/>
      </c>
      <c r="O280" s="20">
        <f>O69</f>
        <v/>
      </c>
      <c r="P280" s="20">
        <f>P69</f>
        <v/>
      </c>
      <c r="Q280" s="20">
        <f>Q69</f>
        <v/>
      </c>
      <c r="R280" s="20">
        <f>R69</f>
        <v/>
      </c>
    </row>
    <row r="281">
      <c r="A281" s="3" t="inlineStr">
        <is>
          <t>Investing Cash Flow</t>
        </is>
      </c>
      <c r="E281" s="20">
        <f>-E73</f>
        <v/>
      </c>
      <c r="F281" s="20">
        <f>-F73</f>
        <v/>
      </c>
      <c r="G281" s="20">
        <f>-G73</f>
        <v/>
      </c>
      <c r="H281" s="20">
        <f>-H73</f>
        <v/>
      </c>
      <c r="I281" s="20">
        <f>-I73</f>
        <v/>
      </c>
      <c r="J281" s="20">
        <f>-J73</f>
        <v/>
      </c>
      <c r="K281" s="20">
        <f>-K73</f>
        <v/>
      </c>
      <c r="L281" s="20">
        <f>-L73</f>
        <v/>
      </c>
      <c r="M281" s="20">
        <f>-M73</f>
        <v/>
      </c>
      <c r="N281" s="20">
        <f>-N73</f>
        <v/>
      </c>
      <c r="O281" s="20">
        <f>-O73</f>
        <v/>
      </c>
      <c r="P281" s="20">
        <f>-P73</f>
        <v/>
      </c>
      <c r="Q281" s="20">
        <f>-Q73</f>
        <v/>
      </c>
      <c r="R281" s="20">
        <f>-R73</f>
        <v/>
      </c>
    </row>
    <row r="282">
      <c r="A282" s="3" t="inlineStr">
        <is>
          <t>Financing Cash Flow</t>
        </is>
      </c>
      <c r="E282" s="20">
        <f>E78</f>
        <v/>
      </c>
      <c r="F282" s="20">
        <f>F78</f>
        <v/>
      </c>
      <c r="G282" s="20">
        <f>G78</f>
        <v/>
      </c>
      <c r="H282" s="20">
        <f>H78</f>
        <v/>
      </c>
      <c r="I282" s="20">
        <f>I78</f>
        <v/>
      </c>
      <c r="J282" s="20">
        <f>J78</f>
        <v/>
      </c>
      <c r="K282" s="20">
        <f>K78</f>
        <v/>
      </c>
      <c r="L282" s="20">
        <f>L78</f>
        <v/>
      </c>
      <c r="M282" s="20">
        <f>M78</f>
        <v/>
      </c>
      <c r="N282" s="20">
        <f>N78</f>
        <v/>
      </c>
      <c r="O282" s="20">
        <f>O78</f>
        <v/>
      </c>
      <c r="P282" s="20">
        <f>P78</f>
        <v/>
      </c>
      <c r="Q282" s="20">
        <f>Q78</f>
        <v/>
      </c>
      <c r="R282" s="20">
        <f>R78</f>
        <v/>
      </c>
    </row>
  </sheetData>
  <mergeCells count="3">
    <mergeCell ref="I1:R1"/>
    <mergeCell ref="A1:C2"/>
    <mergeCell ref="D1:H1"/>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2026-08-07T23:40:28Z</dcterms:created>
  <dcterms:modified xmlns:dcterms="http://purl.org/dc/terms/" xmlns:xsi="http://www.w3.org/2001/XMLSchema-instance" xsi:type="dcterms:W3CDTF">2026-08-07T23:40:28Z</dcterms:modified>
</cp:coreProperties>
</file>