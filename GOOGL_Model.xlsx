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_Input" sheetId="1" state="visible" r:id="rId3"/>
    <sheet name="Financial Model &amp; DCF" sheetId="2" state="visible" r:id="rId4"/>
    <sheet name="Sensitivit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<sst xmlns="http://schemas.openxmlformats.org/spreadsheetml/2006/main" count="356" uniqueCount="331">
  <si>
    <t xml:space="preserve">DATA INPUT - historical financials. Fixed row keys in column A; one column per year. A Python extractor should write ONLY this tab. (You may hide this tab.)</t>
  </si>
  <si>
    <t xml:space="preserve">key</t>
  </si>
  <si>
    <t xml:space="preserve">label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</si>
  <si>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</si>
  <si>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</si>
  <si>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</si>
  <si>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</si>
  <si>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</si>
  <si>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-- income_statement --</t>
  </si>
  <si>
    <t xml:space="preserve">revenue</t>
  </si>
  <si>
    <t xml:space="preserve">Revenue</t>
  </si>
  <si>
    <t xml:space="preserve">cogs</t>
  </si>
  <si>
    <t xml:space="preserve">Cogs</t>
  </si>
  <si>
    <t xml:space="preserve">salaries_and_benefits</t>
  </si>
  <si>
    <t xml:space="preserve">Salaries And Benefits</t>
  </si>
  <si>
    <t xml:space="preserve">rent_and_overhead</t>
  </si>
  <si>
    <t xml:space="preserve">Rent And Overhead</t>
  </si>
  <si>
    <t xml:space="preserve">d_and_a</t>
  </si>
  <si>
    <t xml:space="preserve">D And A</t>
  </si>
  <si>
    <t xml:space="preserve">interest</t>
  </si>
  <si>
    <t xml:space="preserve">Interest</t>
  </si>
  <si>
    <t xml:space="preserve">taxes</t>
  </si>
  <si>
    <t xml:space="preserve">Taxes</t>
  </si>
  <si>
    <t xml:space="preserve">-- balance_sheet --</t>
  </si>
  <si>
    <t xml:space="preserve">cash</t>
  </si>
  <si>
    <t xml:space="preserve">Cash</t>
  </si>
  <si>
    <t xml:space="preserve">accounts_receivable</t>
  </si>
  <si>
    <t xml:space="preserve">Accounts Receivable</t>
  </si>
  <si>
    <t xml:space="preserve">inventory</t>
  </si>
  <si>
    <t xml:space="preserve">Inventory</t>
  </si>
  <si>
    <t xml:space="preserve">ppe</t>
  </si>
  <si>
    <t xml:space="preserve">Ppe</t>
  </si>
  <si>
    <t xml:space="preserve">accounts_payable</t>
  </si>
  <si>
    <t xml:space="preserve">Accounts Payable</t>
  </si>
  <si>
    <t xml:space="preserve">debt</t>
  </si>
  <si>
    <t xml:space="preserve">Debt</t>
  </si>
  <si>
    <t xml:space="preserve">equity_capital</t>
  </si>
  <si>
    <t xml:space="preserve">Equity Capital</t>
  </si>
  <si>
    <t xml:space="preserve">retained_earnings</t>
  </si>
  <si>
    <t xml:space="preserve">Retained Earnings</t>
  </si>
  <si>
    <t xml:space="preserve">-- schedules --</t>
  </si>
  <si>
    <t xml:space="preserve">capex</t>
  </si>
  <si>
    <t xml:space="preserve">Capex</t>
  </si>
  <si>
    <t xml:space="preserve">debt_issuance</t>
  </si>
  <si>
    <t xml:space="preserve">Debt Issuance</t>
  </si>
  <si>
    <t xml:space="preserve">equity_issued</t>
  </si>
  <si>
    <t xml:space="preserve">Equity Issued</t>
  </si>
  <si>
    <t xml:space="preserve">-- opening_balances --</t>
  </si>
  <si>
    <t xml:space="preserve">ppe_opening_first</t>
  </si>
  <si>
    <t xml:space="preserve">Ppe Opening First</t>
  </si>
  <si>
    <t xml:space="preserve">debt_opening_first</t>
  </si>
  <si>
    <t xml:space="preserve">Debt Opening First</t>
  </si>
  <si>
    <t xml:space="preserve">nol_opening</t>
  </si>
  <si>
    <t xml:space="preserve">Nol Opening</t>
  </si>
  <si>
    <t xml:space="preserve"> Alphabet Inc. (NASDAQ: GOOGL)</t>
  </si>
  <si>
    <t xml:space="preserve">Historical Results</t>
  </si>
  <si>
    <t xml:space="preserve">Forecast Period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</si>
  <si>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</si>
  <si>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</si>
  <si>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</si>
  <si>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</si>
  <si>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</si>
  <si>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</si>
  <si>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</si>
  <si>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</si>
  <si>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</si>
  <si>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</si>
  <si>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</si>
  <si>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</si>
  <si>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</si>
  <si>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</si>
  <si>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</si>
  <si>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Balance Sheet Check</t>
  </si>
  <si>
    <t xml:space="preserve">All figures in USD billions unless noted | per-share values in USD</t>
  </si>
  <si>
    <t xml:space="preserve">Scenario: Prices 17-Jul-2026 (live quote). rf 4.55% = US 10Y as-of 17-Jul-2026 (was 4.30% - refreshed); terminal g = rf per Damodaran convention. AUDITED CONVENTIONS: per-share = equity / TODAY'S diluted count; capital returns modeled as equity outflows (count constant - no double count); treasury line includes ST+LT investments (in the equity bridge; their income excluded from FCF). DAMODARAN 10-YR: growth 13%-&gt;4.3%, opex leverage 22%-&gt;19.5% (history supports: scale economics), explicit AI capex $95B-&gt;75B, WACC 8.9%-&gt;8.5%, terminal g=rf, exit 17x. Returns $70B/yr. Consensus $417.</t>
  </si>
  <si>
    <t xml:space="preserve">Assumptions</t>
  </si>
  <si>
    <t xml:space="preserve">Corporate actions: none found - searched 2026-07-16; buybacks modeled as capital returns. NEWS SCAN 2026-07-19: Q2 earnings due 22-Jul (Cloud the swing metric, +63% last qtr); securities-fraud investigation opened after 16-Jul Bloomberg report - headline/legal overlay, not modeled; Berkshire disclosed as an Alphabet holder. No dilutive corporate actions found.</t>
  </si>
  <si>
    <t xml:space="preserve">Key Assumptions</t>
  </si>
  <si>
    <t xml:space="preserve">Revenue Growth (% Change)</t>
  </si>
  <si>
    <t xml:space="preserve">Cost of Goods Sold (% of Revenue)</t>
  </si>
  <si>
    <t xml:space="preserve">Research &amp; Development (% of Revenue)</t>
  </si>
  <si>
    <t xml:space="preserve">Sales &amp; Marketing + General &amp; Administrative (USD billions)</t>
  </si>
  <si>
    <t xml:space="preserve">Depreciation &amp; Amortization (% of PP&amp;E)</t>
  </si>
  <si>
    <t xml:space="preserve">Interest (% of Debt)</t>
  </si>
  <si>
    <t xml:space="preserve">Tax Rate (% of Earnings Before Tax)</t>
  </si>
  <si>
    <t xml:space="preserve">Accounts Receivable (Days)</t>
  </si>
  <si>
    <t xml:space="preserve">Inventory (Days)</t>
  </si>
  <si>
    <t xml:space="preserve">Accounts Payable (Days)</t>
  </si>
  <si>
    <t xml:space="preserve">Capital Expenditures (USD billions)</t>
  </si>
  <si>
    <t xml:space="preserve">Debt Issuance (Repayment) (USD billions)</t>
  </si>
  <si>
    <t xml:space="preserve">Equity Issued (Repaid) (USD billions)</t>
  </si>
  <si>
    <t xml:space="preserve">Days in Period</t>
  </si>
  <si>
    <t xml:space="preserve">Income Statement</t>
  </si>
  <si>
    <t xml:space="preserve">Cost of Goods Sold (COGS)</t>
  </si>
  <si>
    <t xml:space="preserve">Gross Profit</t>
  </si>
  <si>
    <t xml:space="preserve">Expenses</t>
  </si>
  <si>
    <t xml:space="preserve">Research &amp; Development</t>
  </si>
  <si>
    <t xml:space="preserve">Sales &amp; Marketing + General &amp; Administrative</t>
  </si>
  <si>
    <t xml:space="preserve">Depreciation &amp; Amortization</t>
  </si>
  <si>
    <t xml:space="preserve">Total Expenses</t>
  </si>
  <si>
    <t xml:space="preserve">Earnings Before Tax</t>
  </si>
  <si>
    <t xml:space="preserve">Net Earnings</t>
  </si>
  <si>
    <t xml:space="preserve">Balance Sheet</t>
  </si>
  <si>
    <t xml:space="preserve">Assets</t>
  </si>
  <si>
    <t xml:space="preserve">Property &amp; Equipment</t>
  </si>
  <si>
    <t xml:space="preserve">Total Assets</t>
  </si>
  <si>
    <t xml:space="preserve">Liabilities</t>
  </si>
  <si>
    <t xml:space="preserve">Total Liabilities</t>
  </si>
  <si>
    <t xml:space="preserve">Shareholder's Equity</t>
  </si>
  <si>
    <t xml:space="preserve">Total Liabilities &amp; Shareholder's Equity</t>
  </si>
  <si>
    <t xml:space="preserve">Check</t>
  </si>
  <si>
    <t xml:space="preserve">Cash Flow Statement</t>
  </si>
  <si>
    <t xml:space="preserve">Operating Cash Flow</t>
  </si>
  <si>
    <t xml:space="preserve">Plus: Depreciation &amp; Amortization</t>
  </si>
  <si>
    <t xml:space="preserve">Less: Changes in Working Capital</t>
  </si>
  <si>
    <t xml:space="preserve">Cash from Operations</t>
  </si>
  <si>
    <t xml:space="preserve">Investing Cash Flow</t>
  </si>
  <si>
    <t xml:space="preserve">Investments in Property &amp; Equipment</t>
  </si>
  <si>
    <t xml:space="preserve">Cash from Investing</t>
  </si>
  <si>
    <t xml:space="preserve">Financing Cash Flow</t>
  </si>
  <si>
    <t xml:space="preserve">Issuance (repayment) of debt</t>
  </si>
  <si>
    <t xml:space="preserve">Issuance (repayment) of equity</t>
  </si>
  <si>
    <t xml:space="preserve">Cash from Financing</t>
  </si>
  <si>
    <t xml:space="preserve">Net Increase (decrease) in Cash</t>
  </si>
  <si>
    <t xml:space="preserve">Opening Cash Balance</t>
  </si>
  <si>
    <t xml:space="preserve">Closing Cash Balance</t>
  </si>
  <si>
    <t xml:space="preserve">Historical CFS is PARTIAL: the 8-line schema omits dividends paid and securities flows, so computed historical cash movements do not reconcile to reported cash. Forecast years DO tie.</t>
  </si>
  <si>
    <t xml:space="preserve">Supporting Schedules</t>
  </si>
  <si>
    <t xml:space="preserve">Working Capital Schedule</t>
  </si>
  <si>
    <t xml:space="preserve">Net Working Capital (NWC)</t>
  </si>
  <si>
    <t xml:space="preserve">Change in NWC</t>
  </si>
  <si>
    <t xml:space="preserve">Depreciation Schedule</t>
  </si>
  <si>
    <t xml:space="preserve">PPE Opening</t>
  </si>
  <si>
    <t xml:space="preserve">Plus Capex</t>
  </si>
  <si>
    <t xml:space="preserve">Less Depreciation</t>
  </si>
  <si>
    <t xml:space="preserve">PPE Closing</t>
  </si>
  <si>
    <t xml:space="preserve">Debt &amp; Interest Schedule</t>
  </si>
  <si>
    <t xml:space="preserve">Debt Opening</t>
  </si>
  <si>
    <t xml:space="preserve">Issuance (repayment)</t>
  </si>
  <si>
    <t xml:space="preserve">Debt Closing</t>
  </si>
  <si>
    <t xml:space="preserve">Interest Expense</t>
  </si>
  <si>
    <t xml:space="preserve">Tax Loss (NOL) Schedule</t>
  </si>
  <si>
    <t xml:space="preserve">NOL Opening</t>
  </si>
  <si>
    <t xml:space="preserve">NOL Used</t>
  </si>
  <si>
    <t xml:space="preserve">NOL Closing</t>
  </si>
  <si>
    <t xml:space="preserve">Revenue Build-Up Schedule</t>
  </si>
  <si>
    <t xml:space="preserve">No revenue build-up provided - revenue growth rates in Key Assumptions are direct inputs. For commodity/project companies, provide forecast.revenue_buildup so growth is derived.</t>
  </si>
  <si>
    <t xml:space="preserve">DCF Valuation</t>
  </si>
  <si>
    <t xml:space="preserve">Valuation Inputs</t>
  </si>
  <si>
    <t xml:space="preserve">Transaction Date</t>
  </si>
  <si>
    <t xml:space="preserve">Current Share Price</t>
  </si>
  <si>
    <t xml:space="preserve">Shares Outstanding</t>
  </si>
  <si>
    <t xml:space="preserve">Market Capitalization</t>
  </si>
  <si>
    <t xml:space="preserve">Perpetual Growth Rate</t>
  </si>
  <si>
    <t xml:space="preserve">Exit EV/EBITDA Multiple</t>
  </si>
  <si>
    <t xml:space="preserve">Actual Market Cap (today)</t>
  </si>
  <si>
    <t xml:space="preserve">Actual Shares Outstanding</t>
  </si>
  <si>
    <t xml:space="preserve">Discounted Cash Flow</t>
  </si>
  <si>
    <t xml:space="preserve">Entry</t>
  </si>
  <si>
    <t xml:space="preserve">Exit</t>
  </si>
  <si>
    <t xml:space="preserve">Date</t>
  </si>
  <si>
    <t xml:space="preserve">Time Periods</t>
  </si>
  <si>
    <t xml:space="preserve">Year Fraction</t>
  </si>
  <si>
    <t xml:space="preserve">Cumulative Year Fraction</t>
  </si>
  <si>
    <t xml:space="preserve">Discount Rate (WACC)</t>
  </si>
  <si>
    <t xml:space="preserve">Discount Factor (cumulative)</t>
  </si>
  <si>
    <t xml:space="preserve">EBIT</t>
  </si>
  <si>
    <t xml:space="preserve">Less: Cash Taxes (unlevered)</t>
  </si>
  <si>
    <t xml:space="preserve">Plus: D&amp;A</t>
  </si>
  <si>
    <t xml:space="preserve">Less: Capex</t>
  </si>
  <si>
    <t xml:space="preserve">Less: Change in NWC</t>
  </si>
  <si>
    <t xml:space="preserve">Unlevered FCF</t>
  </si>
  <si>
    <t xml:space="preserve">(Entry)/Exit</t>
  </si>
  <si>
    <t xml:space="preserve">Transaction CF</t>
  </si>
  <si>
    <t xml:space="preserve">Terminal Value</t>
  </si>
  <si>
    <t xml:space="preserve">Perpetual Growth</t>
  </si>
  <si>
    <t xml:space="preserve">EV/EBITDA</t>
  </si>
  <si>
    <t xml:space="preserve">Average</t>
  </si>
  <si>
    <t xml:space="preserve">Perpetuity TV implied EV/EBITDA (vs assumed, vs spot)</t>
  </si>
  <si>
    <t xml:space="preserve">compare to the company's CURRENT spot multiple - this one number explains most verdicts</t>
  </si>
  <si>
    <t xml:space="preserve">Intrinsic Value</t>
  </si>
  <si>
    <t xml:space="preserve">Enterprise Value</t>
  </si>
  <si>
    <t xml:space="preserve">Plus: Cash</t>
  </si>
  <si>
    <t xml:space="preserve">Less: Debt</t>
  </si>
  <si>
    <t xml:space="preserve">Equity Value</t>
  </si>
  <si>
    <t xml:space="preserve">Intrinsic Value/Share</t>
  </si>
  <si>
    <t xml:space="preserve">Market Value</t>
  </si>
  <si>
    <t xml:space="preserve">Market Cap</t>
  </si>
  <si>
    <t xml:space="preserve">Plus: Debt</t>
  </si>
  <si>
    <t xml:space="preserve">Less: Cash</t>
  </si>
  <si>
    <t xml:space="preserve">Enterprise Value (entry)</t>
  </si>
  <si>
    <t xml:space="preserve">Rate of Return</t>
  </si>
  <si>
    <t xml:space="preserve">Target Price Upside</t>
  </si>
  <si>
    <t xml:space="preserve">Internal Rate of Return (IRR)</t>
  </si>
  <si>
    <t xml:space="preserve">Implied 10-yr Expected Annual Return</t>
  </si>
  <si>
    <t xml:space="preserve">WACC carry x fair-value convergence (FCF reinvested at WACC): at fair price this equals the WACC; a discount adds, a premium subtracts</t>
  </si>
  <si>
    <t xml:space="preserve">Implied Market Cap Projection</t>
  </si>
  <si>
    <t xml:space="preserve">Fiscal Year</t>
  </si>
  <si>
    <t xml:space="preserve">Implied Enterprise Value</t>
  </si>
  <si>
    <t xml:space="preserve">Implied Market Cap</t>
  </si>
  <si>
    <t xml:space="preserve">Implied Value/Share</t>
  </si>
  <si>
    <t xml:space="preserve">Value accretes at each year's WACC less FCF generated; net debt held constant. Model-implied path, not a prediction. If share count changes, compare PER-SHARE values.</t>
  </si>
  <si>
    <t xml:space="preserve">Stated simplifications: no interest income on accumulating cash (conservative); unlevered DCF taxes EBIT fully - NOL benefit appears in Net Earnings only; net-debt bridge uses the latest reported balance sheet - swap in the newest interim BS when published. Late-year balance-sheet ratios (ROE/ROA/BVPS) are distorted by the accumulating-cash assumption - directional only.</t>
  </si>
  <si>
    <t xml:space="preserve">ESTIMATED FIGURES - not read from a filing:</t>
  </si>
  <si>
    <t xml:space="preserve">  none - every historical figure above was read from the source statements.</t>
  </si>
  <si>
    <t xml:space="preserve">Institutional Valuation Layer - EPS-Power x Multiple (street-comparable lens)</t>
  </si>
  <si>
    <t xml:space="preserve">The FCF DCF above is the fundamental anchor. This layer prices FORWARD EPS POWER at scenario multiples - how the street values megacaps. The gap between the two lenses IS the multiple bet: printed, never blended.</t>
  </si>
  <si>
    <t xml:space="preserve">EPS - cash-return convention (today's diluted count)</t>
  </si>
  <si>
    <t xml:space="preserve">EPS - street count-shrink view (buybacks retire stock at today's price)</t>
  </si>
  <si>
    <t xml:space="preserve">Diluted count, street view</t>
  </si>
  <si>
    <t xml:space="preserve">EPS x Multiple - Scenario Valuation (forward value, discounted at the hurdle)</t>
  </si>
  <si>
    <t xml:space="preserve">Hurdle (CAPM, 12-mo convention)</t>
  </si>
  <si>
    <t xml:space="preserve">Anchor year: 3 (K)</t>
  </si>
  <si>
    <t xml:space="preserve">Scenario</t>
  </si>
  <si>
    <t xml:space="preserve">Anchor EPS</t>
  </si>
  <si>
    <t xml:space="preserve">Multiple</t>
  </si>
  <si>
    <t xml:space="preserve">Forward Value</t>
  </si>
  <si>
    <t xml:space="preserve">PV Today</t>
  </si>
  <si>
    <t xml:space="preserve">Prob.</t>
  </si>
  <si>
    <t xml:space="preserve">Contribution</t>
  </si>
  <si>
    <t xml:space="preserve">Bear</t>
  </si>
  <si>
    <t xml:space="preserve">Base</t>
  </si>
  <si>
    <t xml:space="preserve">Bull</t>
  </si>
  <si>
    <t xml:space="preserve">Extreme Bull</t>
  </si>
  <si>
    <t xml:space="preserve">PWFV (EPS-anchored, PV today)</t>
  </si>
  <si>
    <t xml:space="preserve">vs DCF PWFV (Sensitivity!B46) and vs price D135 - the spread between the two PWFVs is the multiple bet, held vs faded.</t>
  </si>
  <si>
    <t xml:space="preserve">Anchor = FY2028 EPS. Base = street avg $17.31 (35 analysts); bear = deck conversion (cloud capex without full payoff); bull = street high $20.11; x-bull = Cloud re-rated as AI infrastructure. Multiples from GOOGL's own 10-yr forward-P/E range (~17-30x). Hurdle 9% ~ CAPM (rf 4.3% + beta 1.0 x ERP 4.6%).</t>
  </si>
  <si>
    <t xml:space="preserve">Street Reconciliation (consensus vs this deck)</t>
  </si>
  <si>
    <t xml:space="preserve">Street Revenue (consensus avg)</t>
  </si>
  <si>
    <t xml:space="preserve">Deck vs Street - Revenue</t>
  </si>
  <si>
    <t xml:space="preserve">Street EPS (consensus avg)</t>
  </si>
  <si>
    <t xml:space="preserve">Deck vs Street - EPS (count-shrink view)</t>
  </si>
  <si>
    <t xml:space="preserve">Where we differ: Deck is close to street on near-year revenue; the divergence is TERMINAL, not near-term - street assumes Cloud's 63% growth persists and capex earns its return; the deck fades faster. Consensus target 419 vs price 347 = street sees ~21% upside on the same cash flows we discount harder.</t>
  </si>
  <si>
    <t xml:space="preserve">Consensus price target: 419.14 (median 420, range 360-460) as-of 2026-07-19 - a 12-mo FORWARD value; compare to our PV x (1+hurdle).</t>
  </si>
  <si>
    <t xml:space="preserve">Source: FMP consensus (37-41 analysts FY27; 33-35 FY28) (2026-07-19)</t>
  </si>
  <si>
    <t xml:space="preserve">Catalyst Odds (judgmental - the odds ARE the thesis; news scan as-of in attestation)</t>
  </si>
  <si>
    <t xml:space="preserve">Catalyst</t>
  </si>
  <si>
    <t xml:space="preserve">Odds</t>
  </si>
  <si>
    <t xml:space="preserve">Read</t>
  </si>
  <si>
    <t xml:space="preserve">Q2 print 22-Jul beats on Cloud</t>
  </si>
  <si>
    <t xml:space="preserve">Cloud +63% last qtr; the market's focus metric</t>
  </si>
  <si>
    <t xml:space="preserve">AI capex earns visible return by FY27</t>
  </si>
  <si>
    <t xml:space="preserve">THE swing node - capex without payoff breaks the deck</t>
  </si>
  <si>
    <t xml:space="preserve">Search share holds vs AI assistants</t>
  </si>
  <si>
    <t xml:space="preserve">Core cash engine; erosion is the structural bear case</t>
  </si>
  <si>
    <t xml:space="preserve">Antitrust remedies stay non-structural</t>
  </si>
  <si>
    <t xml:space="preserve">Regulatory overhang on the multiple</t>
  </si>
  <si>
    <t xml:space="preserve">Securities-fraud probe (16-Jul Bloomberg) proves immaterial</t>
  </si>
  <si>
    <t xml:space="preserve">Headline risk; no P&amp;L path modeled</t>
  </si>
  <si>
    <t xml:space="preserve">Multiple holds &gt;=22x forward</t>
  </si>
  <si>
    <t xml:space="preserve">The re-rating bet in one line</t>
  </si>
  <si>
    <t xml:space="preserve">Cost of Capital Build - the discount rate is DERIVED here, not asserted</t>
  </si>
  <si>
    <t xml:space="preserve">Government bond yield (United States 10Y, as-of 2026-07-17)</t>
  </si>
  <si>
    <t xml:space="preserve">Less: sovereign default spread (Aa1)</t>
  </si>
  <si>
    <t xml:space="preserve">RISK-FREE RATE in USD (bond yield less sovereign spread)</t>
  </si>
  <si>
    <t xml:space="preserve">Equity risk premium (Damodaran country ERP table, last updated Jan-2026 (stern.nyu.edu/~adamodar), fetched 2026-07-19)</t>
  </si>
  <si>
    <t xml:space="preserve">Implied MARKET RETURN  Rm = rf + ERP</t>
  </si>
  <si>
    <t xml:space="preserve">Country risk premium (already inside the ERP above)</t>
  </si>
  <si>
    <t xml:space="preserve">Levered beta (adjusted)  [raw 1.247]</t>
  </si>
  <si>
    <t xml:space="preserve">Size / illiquidity premium</t>
  </si>
  <si>
    <t xml:space="preserve">Cost of equity = rf + beta x (ERP + CRP) + size premium</t>
  </si>
  <si>
    <t xml:space="preserve">Year-1 WACC used in the DCF grid (row 149) - cross-check they agree; the grid fades toward the mature rate.</t>
  </si>
  <si>
    <t xml:space="preserve">Cost of debt - pre-tax (marginal, = rf + credit spread)</t>
  </si>
  <si>
    <t xml:space="preserve">marginal: rf-equivalent + credit spread; after-tax at the MARGINAL rate 25% (not the effective rate)</t>
  </si>
  <si>
    <t xml:space="preserve">Cost of debt - after tax  = pre-tax x (1 - tax rate)</t>
  </si>
  <si>
    <t xml:space="preserve">WACC = CoE x (1-Wd) + Kd(after-tax) x Wd</t>
  </si>
  <si>
    <t xml:space="preserve">Terminal growth vs risk-free</t>
  </si>
  <si>
    <t xml:space="preserve">Damodaran convention for MATURE-MARKET compounders: terminal g = the risk-free rate (an economy cannot outgrow its own bond) - a gap there means one input is stale. For declining or finite-resource industries (coal, EM cyclicals) terminal g SHOULD sit well below rf; the gap is then deliberate, not an error.</t>
  </si>
  <si>
    <t xml:space="preserve">Additional premium: none - the model discounts at the derived build</t>
  </si>
  <si>
    <t xml:space="preserve">WACC USED IN THE MODEL (build + named premium)</t>
  </si>
  <si>
    <t xml:space="preserve">Tie-out vs the DCF grid (year-1 WACC, row 149)</t>
  </si>
  <si>
    <t xml:space="preserve">Must be 0.00%. A non-zero tie-out means the discount rate is asserted, not derived - any premium above the CAPM build must be NAMED above, never silent.</t>
  </si>
  <si>
    <t xml:space="preserve">Capital structure at MARKET values</t>
  </si>
  <si>
    <t xml:space="preserve">Weight of debt   Wd = D / (D + E)</t>
  </si>
  <si>
    <t xml:space="preserve">market values: gross debt 59.3 / (debt + mcap 4,194.2)</t>
  </si>
  <si>
    <t xml:space="preserve">Weight of equity We = 1 - Wd</t>
  </si>
  <si>
    <t xml:space="preserve">Check: We + Wd must equal 100%</t>
  </si>
  <si>
    <t xml:space="preserve">Equity contribution  = CoE x We</t>
  </si>
  <si>
    <t xml:space="preserve">Debt contribution    = Kd(after-tax) x Wd</t>
  </si>
  <si>
    <t xml:space="preserve">Sum = WACC (must equal the build above)</t>
  </si>
  <si>
    <t xml:space="preserve">Debt weight uses GROSS debt at book vs equity at MARKET (standard); a net-debt weight would be negative for net-cash names and is not used. Cost of debt is the MARGINAL rate today, not the legacy coupon - old ZIRP-era bonds understate what new borrowing costs and must never set the WACC.</t>
  </si>
  <si>
    <t xml:space="preserve">Charts and Graphs</t>
  </si>
  <si>
    <t xml:space="preserve">Gross Profit Margin (%)</t>
  </si>
  <si>
    <t xml:space="preserve"> Sensitivity &amp; Scenarios - NASDAQ: GOOGL</t>
  </si>
  <si>
    <t xml:space="preserve">All figures in USD billions | per-share values in USD</t>
  </si>
  <si>
    <t xml:space="preserve">Grid 1: Intrinsic Value per Share - WACC (rows) x Perpetual Growth (columns) - perpetuity TV only</t>
  </si>
  <si>
    <t xml:space="preserve">Grid 2: Intrinsic Value per Share - WACC (rows) x Exit EV/EBITDA (columns) - exit-multiple TV only</t>
  </si>
  <si>
    <t xml:space="preserve">Grid 3: Intrinsic Value per Share - WACC (rows) x FCF Deck Scale (columns) - stresses the revenue/margin deck</t>
  </si>
  <si>
    <t xml:space="preserve">Scales every forecast cash flow and the terminal value by the column factor - the growth deck is usually where the real risk lives, not the discount rate.</t>
  </si>
  <si>
    <t xml:space="preserve">Scenarios: Implied Value per Share - Bear / Base / Bull</t>
  </si>
  <si>
    <t xml:space="preserve">Bear = higher WACC, lower terminal growth; Bull = the reverse. Blue offsets are editable. Terminal value = average of perpetuity and exit-multiple, like the DCF.</t>
  </si>
  <si>
    <t xml:space="preserve">Today</t>
  </si>
  <si>
    <t xml:space="preserve">WACC</t>
  </si>
  <si>
    <t xml:space="preserve">Growth</t>
  </si>
  <si>
    <t xml:space="preserve">Bear implied EV</t>
  </si>
  <si>
    <t xml:space="preserve">Base implied EV</t>
  </si>
  <si>
    <t xml:space="preserve">Bull implied EV</t>
  </si>
  <si>
    <t xml:space="preserve">Current Price</t>
  </si>
  <si>
    <t xml:space="preserve">Probability-Weighted Fair Value (PWFV, today)</t>
  </si>
  <si>
    <t xml:space="preserve">PWFV = scenario values weighted by the blue probabilities (decision-memo convention). These are TODAY values (already discounted at the WACC) - no extra hurdle deduction needed. Verdict grammar: price INSIDE the scenario band = no margin of safety.</t>
  </si>
  <si>
    <t xml:space="preserve">Dilution Scenario - Post-Deal Value per Share</t>
  </si>
  <si>
    <t xml:space="preserve">The engine excludes deal financing; this block restores it. Set to announced terms (share swap: new shares to the vendor, zero cash raised).</t>
  </si>
  <si>
    <t xml:space="preserve">New Shares Issued</t>
  </si>
  <si>
    <t xml:space="preserve">Cash Raised (USD billions)</t>
  </si>
  <si>
    <t xml:space="preserve">Post-Deal Shares Outstanding</t>
  </si>
  <si>
    <t xml:space="preserve">Post-Deal Equity Value</t>
  </si>
  <si>
    <t xml:space="preserve">Post-Deal Intrinsic Value/Share</t>
  </si>
  <si>
    <t xml:space="preserve">vs Current Price</t>
  </si>
  <si>
    <t xml:space="preserve">How to Build a Native Excel Data Table (What-If Analysis)</t>
  </si>
  <si>
    <t xml:space="preserve">1. In an empty corner cell type  ='Financial Model &amp; DCF'!D171  (intrinsic value/share).</t>
  </si>
  <si>
    <t xml:space="preserve">2. Across the top row type growth (or multiple) values; down the left column type WACC values.</t>
  </si>
  <si>
    <t xml:space="preserve">3. Select the whole block including the corner cell.</t>
  </si>
  <si>
    <t xml:space="preserve">4. Data tab -&gt; What-If Analysis -&gt; Data Table.</t>
  </si>
  <si>
    <t xml:space="preserve">5. Row input: 'Financial Model &amp; DCF'!$D$138 (growth) or $D$139 (multiple). Column input: 'Financial Model &amp; DCF'!$R$149.</t>
  </si>
  <si>
    <t xml:space="preserve">6. OK - Excel recalculates the live 3-statement engine for every combination.</t>
  </si>
  <si>
    <t xml:space="preserve">The grids above use closed-form shortcuts with DIFFERENT terminal-value methods (see each grid title);</t>
  </si>
  <si>
    <t xml:space="preserve">a Data Table stresses the live engine with the average-TV headline. Differences between them are expected.</t>
  </si>
  <si>
    <t xml:space="preserve">Guards Fired &amp; Responses (audit trail - the workbook outlives the conversation)</t>
  </si>
  <si>
    <t xml:space="preserve">Every warning the build-time verify fired, with the analyst's one-line response. UNANSWERED = ship-blocking.</t>
  </si>
  <si>
    <t xml:space="preserve">No guards fired at build time.</t>
  </si>
  <si>
    <t xml:space="preserve">PE Returns View - Entry / Hold / Exit (IRR &amp; MOIC)</t>
  </si>
  <si>
    <t xml:space="preserve">Take-private lens: buy the whole equity at entry, receive the capital returns the model already forecasts as owner distributions, exit at year 10 on the exit multiple. Unlevered by default - add acquisition debt by editing the entry line. Blue = deal assumptions.</t>
  </si>
  <si>
    <t xml:space="preserve">Entry premium to market</t>
  </si>
  <si>
    <t xml:space="preserve">Entry equity cost</t>
  </si>
  <si>
    <t xml:space="preserve">Exit EV/EBITDA (blue)</t>
  </si>
  <si>
    <t xml:space="preserve">Cash flows to owner</t>
  </si>
  <si>
    <t xml:space="preserve">IRR (annual)</t>
  </si>
  <si>
    <t xml:space="preserve">MOIC</t>
  </si>
  <si>
    <t xml:space="preserve">Exit year net debt uses the engine's forecast balance sheet (debt - cash, year 10); negative net debt (net cash) adds to exit proceeds. Distributions = forecast capital returns (buybacks/dividends redirected to the owner).</t>
  </si>
  <si>
    <t xml:space="preserve">IRR sensitivity: entry premium (rows) x exit multiple (cols)</t>
  </si>
  <si>
    <t xml:space="preserve">Grid IRR is money-multiple annualized ((total inflows / entry)^(1/N)-1) - a distribution-timing-blind approximation; the headline IRR above is the exact cash-flow IRR.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</si>
</sst>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"/>
    <numFmt numFmtId="166" formatCode="0.0%"/>
    <numFmt numFmtId="167" formatCode="0"/>
    <numFmt numFmtId="168" formatCode="0.0000"/>
    <numFmt numFmtId="169" formatCode="dd/mm/yy"/>
    <numFmt numFmtId="170" formatCode="0.00%"/>
    <numFmt numFmtId="171" formatCode="0.0\x"/>
    <numFmt numFmtId="172" formatCode="0.00"/>
    <numFmt numFmtId="173" formatCode="0.000"/>
    <numFmt numFmtId="174" formatCode="0%"/>
    <numFmt numFmtId="175" formatCode="0.00\x"/>
    <numFmt numFmtId="176" formatCode="#,##0"/>
  </numFmts>
  <fonts count="17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color theme="1"/>
      <name val="Arial"/>
      <family val="0"/>
    </font>
    <font>
      <b val="true"/>
      <sz val="11"/>
      <color theme="1"/>
      <name val="Arial"/>
      <family val="0"/>
    </font>
    <font>
      <sz val="11"/>
      <color theme="1"/>
      <name val="Arial"/>
      <family val="0"/>
    </font>
    <font>
      <sz val="11"/>
      <color theme="1"/>
      <name val="Arial"/>
      <family val="0"/>
    </font>
    <font>
      <b val="true"/>
      <sz val="13"/>
      <color theme="1"/>
      <name val="Arial"/>
      <family val="0"/>
    </font>
    <font>
      <b val="true"/>
      <sz val="12"/>
      <color theme="1"/>
      <name val="Arial"/>
      <family val="0"/>
    </font>
    <font>
      <i val="true"/>
      <sz val="11"/>
      <color theme="1"/>
      <name val="Arial"/>
      <family val="0"/>
    </font>
    <font>
      <i val="true"/>
      <sz val="10"/>
      <color theme="1"/>
      <name val="Arial"/>
      <family val="0"/>
    </font>
    <font>
      <b val="true"/>
      <i val="true"/>
      <sz val="10"/>
      <color theme="1"/>
      <name val="Arial"/>
      <family val="0"/>
    </font>
    <font>
      <i val="true"/>
      <sz val="10"/>
      <color theme="1"/>
      <name val="Arial"/>
      <family val="0"/>
    </font>
    <font>
      <b val="true"/>
      <sz val="13"/>
      <color theme="1"/>
      <name val="Arial"/>
      <family val="0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  <fill>
      <patternFill patternType="solid">
        <fgColor rgb="FFFFF2CC"/>
        <bgColor rgb="FFF9F9F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2E5B9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472C4"/>
      <rgbColor rgb="FF5BC0DE"/>
      <rgbColor rgb="FF99CC00"/>
      <rgbColor rgb="FFFFCC00"/>
      <rgbColor rgb="FFFF9900"/>
      <rgbColor rgb="FFED7D31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Gross Profit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DCF'!$A$277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472C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DCF'!$D$277:$R$277</c:f>
              <c:numCache>
                <c:formatCode>#,##0.00;\(#,##0.00\)</c:formatCode>
                <c:ptCount val="15"/>
                <c:pt idx="0">
                  <c:v>257.637</c:v>
                </c:pt>
                <c:pt idx="1">
                  <c:v>282.836</c:v>
                </c:pt>
                <c:pt idx="2">
                  <c:v>307.394</c:v>
                </c:pt>
                <c:pt idx="3">
                  <c:v>350.018</c:v>
                </c:pt>
                <c:pt idx="4">
                  <c:v>402.963</c:v>
                </c:pt>
                <c:pt idx="5">
                  <c:v>455.34819</c:v>
                </c:pt>
                <c:pt idx="6">
                  <c:v>509.9899728</c:v>
                </c:pt>
                <c:pt idx="7">
                  <c:v>566.088869808</c:v>
                </c:pt>
                <c:pt idx="8">
                  <c:v>622.6977567888</c:v>
                </c:pt>
                <c:pt idx="9">
                  <c:v>678.740554899792</c:v>
                </c:pt>
                <c:pt idx="10">
                  <c:v>733.039799291776</c:v>
                </c:pt>
                <c:pt idx="11">
                  <c:v>784.3525852422</c:v>
                </c:pt>
                <c:pt idx="12">
                  <c:v>831.413740356732</c:v>
                </c:pt>
                <c:pt idx="13">
                  <c:v>872.984427374569</c:v>
                </c:pt>
                <c:pt idx="14">
                  <c:v>910.522757751675</c:v>
                </c:pt>
              </c:numCache>
            </c:numRef>
          </c:val>
        </c:ser>
        <c:gapWidth val="60"/>
        <c:overlap val="0"/>
        <c:axId val="77553096"/>
        <c:axId val="42620117"/>
      </c:barChart>
      <c:lineChart>
        <c:grouping val="standard"/>
        <c:varyColors val="0"/>
        <c:ser>
          <c:idx val="1"/>
          <c:order val="1"/>
          <c:tx>
            <c:strRef>
              <c:f>'Financial Model &amp; DCF'!$A$278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solidFill>
              <a:srgbClr val="ED7D31"/>
            </a:solidFill>
            <a:ln w="1260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DCF'!$D$278:$R$278</c:f>
              <c:numCache>
                <c:formatCode>0.0%</c:formatCode>
                <c:ptCount val="15"/>
                <c:pt idx="0">
                  <c:v>0.569398029009808</c:v>
                </c:pt>
                <c:pt idx="1">
                  <c:v>0.553794425037831</c:v>
                </c:pt>
                <c:pt idx="2">
                  <c:v>0.566250479840205</c:v>
                </c:pt>
                <c:pt idx="3">
                  <c:v>0.582004354061791</c:v>
                </c:pt>
                <c:pt idx="4">
                  <c:v>0.596650312807876</c:v>
                </c:pt>
                <c:pt idx="5">
                  <c:v>0.597</c:v>
                </c:pt>
                <c:pt idx="6">
                  <c:v>0.597</c:v>
                </c:pt>
                <c:pt idx="7">
                  <c:v>0.597</c:v>
                </c:pt>
                <c:pt idx="8">
                  <c:v>0.597</c:v>
                </c:pt>
                <c:pt idx="9">
                  <c:v>0.597</c:v>
                </c:pt>
                <c:pt idx="10">
                  <c:v>0.597</c:v>
                </c:pt>
                <c:pt idx="11">
                  <c:v>0.597</c:v>
                </c:pt>
                <c:pt idx="12">
                  <c:v>0.597</c:v>
                </c:pt>
                <c:pt idx="13">
                  <c:v>0.597</c:v>
                </c:pt>
                <c:pt idx="14">
                  <c:v>0.597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647353"/>
        <c:axId val="70554435"/>
      </c:lineChart>
      <c:catAx>
        <c:axId val="77553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620117"/>
        <c:crosses val="autoZero"/>
        <c:auto val="1"/>
        <c:lblAlgn val="ctr"/>
        <c:lblOffset val="100"/>
        <c:noMultiLvlLbl val="0"/>
      </c:catAx>
      <c:valAx>
        <c:axId val="426201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553096"/>
        <c:crosses val="autoZero"/>
        <c:crossBetween val="between"/>
      </c:valAx>
      <c:catAx>
        <c:axId val="10647353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554435"/>
        <c:crosses val="autoZero"/>
        <c:auto val="1"/>
        <c:lblAlgn val="ctr"/>
        <c:lblOffset val="100"/>
        <c:noMultiLvlLbl val="0"/>
      </c:catAx>
      <c:valAx>
        <c:axId val="7055443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64735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DCF'!$A$280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DCF'!$D$280:$R$280</c:f>
              <c:numCache>
                <c:formatCode>#,##0.00;\(#,##0.00\)</c:formatCode>
                <c:ptCount val="15"/>
                <c:pt idx="1">
                  <c:v>76.919</c:v>
                </c:pt>
                <c:pt idx="2">
                  <c:v>91.424</c:v>
                </c:pt>
                <c:pt idx="3">
                  <c:v>111.179</c:v>
                </c:pt>
                <c:pt idx="4">
                  <c:v>133.971</c:v>
                </c:pt>
                <c:pt idx="5">
                  <c:v>147.744941707343</c:v>
                </c:pt>
                <c:pt idx="6">
                  <c:v>171.632984981704</c:v>
                </c:pt>
                <c:pt idx="7">
                  <c:v>192.253738749779</c:v>
                </c:pt>
                <c:pt idx="8">
                  <c:v>212.68646501783</c:v>
                </c:pt>
                <c:pt idx="9">
                  <c:v>233.041142837696</c:v>
                </c:pt>
                <c:pt idx="10">
                  <c:v>252.77601699498</c:v>
                </c:pt>
                <c:pt idx="11">
                  <c:v>271.595634664917</c:v>
                </c:pt>
                <c:pt idx="12">
                  <c:v>288.307346986334</c:v>
                </c:pt>
                <c:pt idx="13">
                  <c:v>303.143866670992</c:v>
                </c:pt>
                <c:pt idx="14">
                  <c:v>316.07920168414</c:v>
                </c:pt>
              </c:numCache>
            </c:numRef>
          </c:val>
        </c:ser>
        <c:ser>
          <c:idx val="1"/>
          <c:order val="1"/>
          <c:tx>
            <c:strRef>
              <c:f>'Financial Model &amp; DCF'!$A$281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1F386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DCF'!$D$281:$R$281</c:f>
              <c:numCache>
                <c:formatCode>#,##0.00;\(#,##0.00\)</c:formatCode>
                <c:ptCount val="15"/>
                <c:pt idx="1">
                  <c:v>-31.485</c:v>
                </c:pt>
                <c:pt idx="2">
                  <c:v>-32.251</c:v>
                </c:pt>
                <c:pt idx="3">
                  <c:v>-52.535</c:v>
                </c:pt>
                <c:pt idx="4">
                  <c:v>-91.447</c:v>
                </c:pt>
                <c:pt idx="5">
                  <c:v>-95</c:v>
                </c:pt>
                <c:pt idx="6">
                  <c:v>-100</c:v>
                </c:pt>
                <c:pt idx="7">
                  <c:v>-100</c:v>
                </c:pt>
                <c:pt idx="8">
                  <c:v>-95</c:v>
                </c:pt>
                <c:pt idx="9">
                  <c:v>-90</c:v>
                </c:pt>
                <c:pt idx="10">
                  <c:v>-85</c:v>
                </c:pt>
                <c:pt idx="11">
                  <c:v>-80</c:v>
                </c:pt>
                <c:pt idx="12">
                  <c:v>-78</c:v>
                </c:pt>
                <c:pt idx="13">
                  <c:v>-76</c:v>
                </c:pt>
                <c:pt idx="14">
                  <c:v>-75</c:v>
                </c:pt>
              </c:numCache>
            </c:numRef>
          </c:val>
        </c:ser>
        <c:ser>
          <c:idx val="2"/>
          <c:order val="2"/>
          <c:tx>
            <c:strRef>
              <c:f>'Financial Model &amp; DCF'!$A$282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5BC0DE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DCF'!$D$282:$R$282</c:f>
              <c:numCache>
                <c:formatCode>#,##0.00;\(#,##0.00\)</c:formatCode>
                <c:ptCount val="15"/>
                <c:pt idx="1">
                  <c:v>-60.492</c:v>
                </c:pt>
                <c:pt idx="2">
                  <c:v>-62.264</c:v>
                </c:pt>
                <c:pt idx="3">
                  <c:v>-61.334</c:v>
                </c:pt>
                <c:pt idx="4">
                  <c:v>-13.572</c:v>
                </c:pt>
                <c:pt idx="5">
                  <c:v>-70</c:v>
                </c:pt>
                <c:pt idx="6">
                  <c:v>-70</c:v>
                </c:pt>
                <c:pt idx="7">
                  <c:v>-70</c:v>
                </c:pt>
                <c:pt idx="8">
                  <c:v>-70</c:v>
                </c:pt>
                <c:pt idx="9">
                  <c:v>-70</c:v>
                </c:pt>
                <c:pt idx="10">
                  <c:v>-70</c:v>
                </c:pt>
                <c:pt idx="11">
                  <c:v>-70</c:v>
                </c:pt>
                <c:pt idx="12">
                  <c:v>-70</c:v>
                </c:pt>
                <c:pt idx="13">
                  <c:v>-70</c:v>
                </c:pt>
                <c:pt idx="14">
                  <c:v>-70</c:v>
                </c:pt>
              </c:numCache>
            </c:numRef>
          </c:val>
        </c:ser>
        <c:gapWidth val="60"/>
        <c:overlap val="-20"/>
        <c:axId val="97650511"/>
        <c:axId val="97348141"/>
      </c:barChart>
      <c:catAx>
        <c:axId val="97650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348141"/>
        <c:crosses val="autoZero"/>
        <c:auto val="1"/>
        <c:lblAlgn val="ctr"/>
        <c:lblOffset val="100"/>
        <c:noMultiLvlLbl val="0"/>
      </c:catAx>
      <c:valAx>
        <c:axId val="973481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6505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Implied Share Price Scenarios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Sensitivity!$A$40</c:f>
              <c:strCache>
                <c:ptCount val="1"/>
                <c:pt idx="0">
                  <c:v>Bear</c:v>
                </c:pt>
              </c:strCache>
            </c:strRef>
          </c:tx>
          <c:spPr>
            <a:solidFill>
              <a:srgbClr val="C00000"/>
            </a:solidFill>
            <a:ln w="2412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Sensitivity!$B$40:$L$40</c:f>
              <c:numCache>
                <c:formatCode>#,##0.00;\(#,##0.00\)</c:formatCode>
                <c:ptCount val="11"/>
                <c:pt idx="0">
                  <c:v>235.083198335335</c:v>
                </c:pt>
                <c:pt idx="1">
                  <c:v>243.750587065829</c:v>
                </c:pt>
                <c:pt idx="2">
                  <c:v>262.605301167805</c:v>
                </c:pt>
                <c:pt idx="3">
                  <c:v>281.774456120085</c:v>
                </c:pt>
                <c:pt idx="4">
                  <c:v>300.893880460018</c:v>
                </c:pt>
                <c:pt idx="5">
                  <c:v>319.964700990507</c:v>
                </c:pt>
                <c:pt idx="6">
                  <c:v>339.03295686221</c:v>
                </c:pt>
                <c:pt idx="7">
                  <c:v>358.174045701729</c:v>
                </c:pt>
                <c:pt idx="8">
                  <c:v>377.818083368329</c:v>
                </c:pt>
                <c:pt idx="9">
                  <c:v>398.173974345031</c:v>
                </c:pt>
                <c:pt idx="10">
                  <c:v>419.557824567938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Sensitivity!$A$42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4472C4"/>
            </a:solidFill>
            <a:ln w="2412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Sensitivity!$B$42:$L$42</c:f>
              <c:numCache>
                <c:formatCode>#,##0.00;\(#,##0.00\)</c:formatCode>
                <c:ptCount val="11"/>
                <c:pt idx="0">
                  <c:v>311.372229753515</c:v>
                </c:pt>
                <c:pt idx="1">
                  <c:v>321.069325905659</c:v>
                </c:pt>
                <c:pt idx="2">
                  <c:v>342.008771940558</c:v>
                </c:pt>
                <c:pt idx="3">
                  <c:v>363.067144695077</c:v>
                </c:pt>
                <c:pt idx="4">
                  <c:v>383.856954608781</c:v>
                </c:pt>
                <c:pt idx="5">
                  <c:v>404.361262809716</c:v>
                </c:pt>
                <c:pt idx="6">
                  <c:v>424.606446717352</c:v>
                </c:pt>
                <c:pt idx="7">
                  <c:v>444.6456089073</c:v>
                </c:pt>
                <c:pt idx="8">
                  <c:v>464.88312033636</c:v>
                </c:pt>
                <c:pt idx="9">
                  <c:v>485.491295886901</c:v>
                </c:pt>
                <c:pt idx="10">
                  <c:v>506.742286850494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Sensitivity!$A$44</c:f>
              <c:strCache>
                <c:ptCount val="1"/>
                <c:pt idx="0">
                  <c:v>Bull</c:v>
                </c:pt>
              </c:strCache>
            </c:strRef>
          </c:tx>
          <c:spPr>
            <a:solidFill>
              <a:srgbClr val="70AD47"/>
            </a:solidFill>
            <a:ln w="2412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Sensitivity!$B$44:$L$44</c:f>
              <c:numCache>
                <c:formatCode>#,##0.00;\(#,##0.00\)</c:formatCode>
                <c:ptCount val="11"/>
                <c:pt idx="0">
                  <c:v>535.012184763725</c:v>
                </c:pt>
                <c:pt idx="1">
                  <c:v>548.841208322693</c:v>
                </c:pt>
                <c:pt idx="2">
                  <c:v>578.868042670951</c:v>
                </c:pt>
                <c:pt idx="3">
                  <c:v>609.204778573958</c:v>
                </c:pt>
                <c:pt idx="4">
                  <c:v>639.474362348323</c:v>
                </c:pt>
                <c:pt idx="5">
                  <c:v>669.678741037696</c:v>
                </c:pt>
                <c:pt idx="6">
                  <c:v>699.864783999524</c:v>
                </c:pt>
                <c:pt idx="7">
                  <c:v>730.106933208049</c:v>
                </c:pt>
                <c:pt idx="8">
                  <c:v>760.831268840833</c:v>
                </c:pt>
                <c:pt idx="9">
                  <c:v>792.225184270586</c:v>
                </c:pt>
                <c:pt idx="10">
                  <c:v>824.573474748277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Sensitivity!$A$45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rgbClr val="808080"/>
            </a:solidFill>
            <a:ln w="12600">
              <a:solidFill>
                <a:srgbClr val="80808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Sensitivity!$B$45:$L$45</c:f>
              <c:numCache>
                <c:formatCode>#,##0.00;\(#,##0.00\)</c:formatCode>
                <c:ptCount val="11"/>
                <c:pt idx="0">
                  <c:v>346.77</c:v>
                </c:pt>
                <c:pt idx="1">
                  <c:v>346.77</c:v>
                </c:pt>
                <c:pt idx="2">
                  <c:v>346.77</c:v>
                </c:pt>
                <c:pt idx="3">
                  <c:v>346.77</c:v>
                </c:pt>
                <c:pt idx="4">
                  <c:v>346.77</c:v>
                </c:pt>
                <c:pt idx="5">
                  <c:v>346.77</c:v>
                </c:pt>
                <c:pt idx="6">
                  <c:v>346.77</c:v>
                </c:pt>
                <c:pt idx="7">
                  <c:v>346.77</c:v>
                </c:pt>
                <c:pt idx="8">
                  <c:v>346.77</c:v>
                </c:pt>
                <c:pt idx="9">
                  <c:v>346.77</c:v>
                </c:pt>
                <c:pt idx="10">
                  <c:v>346.77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930356"/>
        <c:axId val="87128153"/>
      </c:lineChart>
      <c:catAx>
        <c:axId val="2193035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128153"/>
        <c:crosses val="autoZero"/>
        <c:auto val="1"/>
        <c:lblAlgn val="ctr"/>
        <c:lblOffset val="100"/>
        <c:noMultiLvlLbl val="0"/>
      </c:catAx>
      <c:valAx>
        <c:axId val="871281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9303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285</xdr:row>
      <xdr:rowOff>0</xdr:rowOff>
    </xdr:from>
    <xdr:to>
      <xdr:col>4</xdr:col>
      <xdr:colOff>810360</xdr:colOff>
      <xdr:row>304</xdr:row>
      <xdr:rowOff>123120</xdr:rowOff>
    </xdr:to>
    <xdr:graphicFrame>
      <xdr:nvGraphicFramePr>
        <xdr:cNvPr id="1" name="Chart 1"/>
        <xdr:cNvGraphicFramePr/>
      </xdr:nvGraphicFramePr>
      <xdr:xfrm>
        <a:off x="0" y="481507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285</xdr:row>
      <xdr:rowOff>0</xdr:rowOff>
    </xdr:from>
    <xdr:to>
      <xdr:col>13</xdr:col>
      <xdr:colOff>105840</xdr:colOff>
      <xdr:row>304</xdr:row>
      <xdr:rowOff>123120</xdr:rowOff>
    </xdr:to>
    <xdr:graphicFrame>
      <xdr:nvGraphicFramePr>
        <xdr:cNvPr id="2" name="Chart 2"/>
        <xdr:cNvGraphicFramePr/>
      </xdr:nvGraphicFramePr>
      <xdr:xfrm>
        <a:off x="8176320" y="481507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49</xdr:row>
      <xdr:rowOff>0</xdr:rowOff>
    </xdr:from>
    <xdr:to>
      <xdr:col>5</xdr:col>
      <xdr:colOff>198720</xdr:colOff>
      <xdr:row>69</xdr:row>
      <xdr:rowOff>94320</xdr:rowOff>
    </xdr:to>
    <xdr:graphicFrame>
      <xdr:nvGraphicFramePr>
        <xdr:cNvPr id="3" name="Chart 1"/>
        <xdr:cNvGraphicFramePr/>
      </xdr:nvGraphicFramePr>
      <xdr:xfrm>
        <a:off x="0" y="8706960"/>
        <a:ext cx="61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2" min="1" style="0" width="24"/>
    <col collapsed="false" customWidth="true" hidden="false" outlineLevel="0" max="7" min="3" style="0" width="12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/>
    <row r="3" customFormat="false" ht="13.8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3.8" hidden="false" customHeight="false" outlineLevel="0" collapsed="false">
      <c r="A4" s="1" t="s">
        <v>8</v>
      </c>
    </row>
    <row r="5" customFormat="false" ht="13.8" hidden="false" customHeight="false" outlineLevel="0" collapsed="false">
      <c r="A5" s="3" t="s">
        <v>9</v>
      </c>
      <c r="B5" s="3" t="s">
        <v>10</v>
      </c>
      <c r="C5" s="4" t="n">
        <v>257.637</v>
      </c>
      <c r="D5" s="4" t="n">
        <v>282.836</v>
      </c>
      <c r="E5" s="4" t="n">
        <v>307.394</v>
      </c>
      <c r="F5" s="4" t="n">
        <v>350.018</v>
      </c>
      <c r="G5" s="4" t="n">
        <v>402.963</v>
      </c>
    </row>
    <row r="6" customFormat="false" ht="13.8" hidden="false" customHeight="false" outlineLevel="0" collapsed="false">
      <c r="A6" s="3" t="s">
        <v>11</v>
      </c>
      <c r="B6" s="3" t="s">
        <v>12</v>
      </c>
      <c r="C6" s="4" t="n">
        <v>110.939</v>
      </c>
      <c r="D6" s="4" t="n">
        <v>126.203</v>
      </c>
      <c r="E6" s="4" t="n">
        <v>133.332</v>
      </c>
      <c r="F6" s="4" t="n">
        <v>146.306</v>
      </c>
      <c r="G6" s="4" t="n">
        <v>162.535</v>
      </c>
    </row>
    <row r="7" customFormat="false" ht="13.8" hidden="false" customHeight="false" outlineLevel="0" collapsed="false">
      <c r="A7" s="3" t="s">
        <v>13</v>
      </c>
      <c r="B7" s="3" t="s">
        <v>14</v>
      </c>
      <c r="C7" s="4" t="n">
        <v>25.7862</v>
      </c>
      <c r="D7" s="4" t="n">
        <v>31.8078</v>
      </c>
      <c r="E7" s="4" t="n">
        <v>39.3818</v>
      </c>
      <c r="F7" s="4" t="n">
        <v>41.056</v>
      </c>
      <c r="G7" s="4" t="n">
        <v>49.4825</v>
      </c>
    </row>
    <row r="8" customFormat="false" ht="13.8" hidden="false" customHeight="false" outlineLevel="0" collapsed="false">
      <c r="A8" s="3" t="s">
        <v>15</v>
      </c>
      <c r="B8" s="3" t="s">
        <v>16</v>
      </c>
      <c r="C8" s="4" t="n">
        <v>29.7568</v>
      </c>
      <c r="D8" s="4" t="n">
        <v>34.0552</v>
      </c>
      <c r="E8" s="4" t="n">
        <v>38.4412</v>
      </c>
      <c r="F8" s="4" t="n">
        <v>34.955</v>
      </c>
      <c r="G8" s="4" t="n">
        <v>40.6435</v>
      </c>
    </row>
    <row r="9" customFormat="false" ht="13.8" hidden="false" customHeight="false" outlineLevel="0" collapsed="false">
      <c r="A9" s="3" t="s">
        <v>17</v>
      </c>
      <c r="B9" s="3" t="s">
        <v>18</v>
      </c>
      <c r="C9" s="4" t="n">
        <v>12.441</v>
      </c>
      <c r="D9" s="4" t="n">
        <v>15.928</v>
      </c>
      <c r="E9" s="4" t="n">
        <v>11.946</v>
      </c>
      <c r="F9" s="4" t="n">
        <v>15.311</v>
      </c>
      <c r="G9" s="4" t="n">
        <v>21.136</v>
      </c>
    </row>
    <row r="10" customFormat="false" ht="13.8" hidden="false" customHeight="false" outlineLevel="0" collapsed="false">
      <c r="A10" s="3" t="s">
        <v>19</v>
      </c>
      <c r="B10" s="3" t="s">
        <v>20</v>
      </c>
      <c r="C10" s="4" t="n">
        <v>0.346</v>
      </c>
      <c r="D10" s="4" t="n">
        <v>0.357</v>
      </c>
      <c r="E10" s="4" t="n">
        <v>0.308</v>
      </c>
      <c r="F10" s="4" t="n">
        <v>0.268</v>
      </c>
      <c r="G10" s="4" t="n">
        <v>0.143</v>
      </c>
    </row>
    <row r="11" customFormat="false" ht="13.8" hidden="false" customHeight="false" outlineLevel="0" collapsed="false">
      <c r="A11" s="3" t="s">
        <v>21</v>
      </c>
      <c r="B11" s="3" t="s">
        <v>22</v>
      </c>
      <c r="C11" s="4" t="n">
        <v>14.701</v>
      </c>
      <c r="D11" s="4" t="n">
        <v>11.356</v>
      </c>
      <c r="E11" s="4" t="n">
        <v>11.922</v>
      </c>
      <c r="F11" s="4" t="n">
        <v>19.697</v>
      </c>
      <c r="G11" s="4" t="n">
        <v>26.656</v>
      </c>
    </row>
    <row r="12" customFormat="false" ht="13.8" hidden="false" customHeight="false" outlineLevel="0" collapsed="false">
      <c r="A12" s="1" t="s">
        <v>23</v>
      </c>
    </row>
    <row r="13" customFormat="false" ht="13.8" hidden="false" customHeight="false" outlineLevel="0" collapsed="false">
      <c r="A13" s="3" t="s">
        <v>24</v>
      </c>
      <c r="B13" s="3" t="s">
        <v>25</v>
      </c>
      <c r="C13" s="4" t="n">
        <v>169.198</v>
      </c>
      <c r="D13" s="4" t="n">
        <v>144.254</v>
      </c>
      <c r="E13" s="4" t="n">
        <v>141.924</v>
      </c>
      <c r="F13" s="4" t="n">
        <v>133.639</v>
      </c>
      <c r="G13" s="4" t="n">
        <v>195.53</v>
      </c>
    </row>
    <row r="14" customFormat="false" ht="13.8" hidden="false" customHeight="false" outlineLevel="0" collapsed="false">
      <c r="A14" s="3" t="s">
        <v>26</v>
      </c>
      <c r="B14" s="3" t="s">
        <v>27</v>
      </c>
      <c r="C14" s="4" t="n">
        <v>39.304</v>
      </c>
      <c r="D14" s="4" t="n">
        <v>40.258</v>
      </c>
      <c r="E14" s="4" t="n">
        <v>47.964</v>
      </c>
      <c r="F14" s="4" t="n">
        <v>52.34</v>
      </c>
      <c r="G14" s="4" t="n">
        <v>62.886</v>
      </c>
    </row>
    <row r="15" customFormat="false" ht="13.8" hidden="false" customHeight="false" outlineLevel="0" collapsed="false">
      <c r="A15" s="3" t="s">
        <v>28</v>
      </c>
      <c r="B15" s="3" t="s">
        <v>29</v>
      </c>
      <c r="C15" s="4" t="n">
        <v>1.17</v>
      </c>
      <c r="D15" s="4" t="n">
        <v>2.67</v>
      </c>
      <c r="E15" s="4" t="n">
        <v>0</v>
      </c>
      <c r="F15" s="4" t="n">
        <v>0</v>
      </c>
      <c r="G15" s="4" t="n">
        <v>0</v>
      </c>
    </row>
    <row r="16" customFormat="false" ht="13.8" hidden="false" customHeight="false" outlineLevel="0" collapsed="false">
      <c r="A16" s="3" t="s">
        <v>30</v>
      </c>
      <c r="B16" s="3" t="s">
        <v>31</v>
      </c>
      <c r="C16" s="4" t="n">
        <v>149.596</v>
      </c>
      <c r="D16" s="4" t="n">
        <v>178.082</v>
      </c>
      <c r="E16" s="4" t="n">
        <v>212.504</v>
      </c>
      <c r="F16" s="4" t="n">
        <v>264.277</v>
      </c>
      <c r="G16" s="4" t="n">
        <v>336.865</v>
      </c>
    </row>
    <row r="17" customFormat="false" ht="13.8" hidden="false" customHeight="false" outlineLevel="0" collapsed="false">
      <c r="A17" s="3" t="s">
        <v>32</v>
      </c>
      <c r="B17" s="3" t="s">
        <v>33</v>
      </c>
      <c r="C17" s="4" t="n">
        <v>79.125</v>
      </c>
      <c r="D17" s="4" t="n">
        <v>79.441</v>
      </c>
      <c r="E17" s="4" t="n">
        <v>91.892</v>
      </c>
      <c r="F17" s="4" t="n">
        <v>99.711</v>
      </c>
      <c r="G17" s="4" t="n">
        <v>120.725</v>
      </c>
    </row>
    <row r="18" customFormat="false" ht="13.8" hidden="false" customHeight="false" outlineLevel="0" collapsed="false">
      <c r="A18" s="3" t="s">
        <v>34</v>
      </c>
      <c r="B18" s="3" t="s">
        <v>35</v>
      </c>
      <c r="C18" s="4" t="n">
        <v>28.508</v>
      </c>
      <c r="D18" s="4" t="n">
        <v>29.679</v>
      </c>
      <c r="E18" s="4" t="n">
        <v>27.121</v>
      </c>
      <c r="F18" s="4" t="n">
        <v>25.461</v>
      </c>
      <c r="G18" s="4" t="n">
        <v>59.291</v>
      </c>
    </row>
    <row r="19" customFormat="false" ht="13.8" hidden="false" customHeight="false" outlineLevel="0" collapsed="false">
      <c r="A19" s="3" t="s">
        <v>36</v>
      </c>
      <c r="B19" s="3" t="s">
        <v>37</v>
      </c>
      <c r="C19" s="4" t="n">
        <v>60.151</v>
      </c>
      <c r="D19" s="4" t="n">
        <v>60.581</v>
      </c>
      <c r="E19" s="4" t="n">
        <v>72.132</v>
      </c>
      <c r="F19" s="4" t="n">
        <v>80</v>
      </c>
      <c r="G19" s="4" t="n">
        <v>91.21</v>
      </c>
    </row>
    <row r="20" customFormat="false" ht="13.8" hidden="false" customHeight="false" outlineLevel="0" collapsed="false">
      <c r="A20" s="3" t="s">
        <v>38</v>
      </c>
      <c r="B20" s="3" t="s">
        <v>39</v>
      </c>
      <c r="C20" s="4" t="n">
        <v>191.484</v>
      </c>
      <c r="D20" s="4" t="n">
        <v>195.563</v>
      </c>
      <c r="E20" s="4" t="n">
        <v>211.247</v>
      </c>
      <c r="F20" s="4" t="n">
        <v>245.084</v>
      </c>
      <c r="G20" s="4" t="n">
        <v>324.055</v>
      </c>
    </row>
    <row r="21" customFormat="false" ht="13.8" hidden="false" customHeight="false" outlineLevel="0" collapsed="false">
      <c r="A21" s="1" t="s">
        <v>40</v>
      </c>
    </row>
    <row r="22" customFormat="false" ht="13.8" hidden="false" customHeight="false" outlineLevel="0" collapsed="false">
      <c r="A22" s="3" t="s">
        <v>41</v>
      </c>
      <c r="B22" s="3" t="s">
        <v>42</v>
      </c>
      <c r="C22" s="4" t="n">
        <v>24.64</v>
      </c>
      <c r="D22" s="4" t="n">
        <v>31.485</v>
      </c>
      <c r="E22" s="4" t="n">
        <v>32.251</v>
      </c>
      <c r="F22" s="4" t="n">
        <v>52.535</v>
      </c>
      <c r="G22" s="4" t="n">
        <v>91.447</v>
      </c>
    </row>
    <row r="23" customFormat="false" ht="13.8" hidden="false" customHeight="false" outlineLevel="0" collapsed="false">
      <c r="A23" s="3" t="s">
        <v>43</v>
      </c>
      <c r="B23" s="3" t="s">
        <v>44</v>
      </c>
      <c r="C23" s="4" t="n">
        <v>-1.236</v>
      </c>
      <c r="D23" s="4" t="n">
        <v>-1.196</v>
      </c>
      <c r="E23" s="4" t="n">
        <v>-0.76</v>
      </c>
      <c r="F23" s="4" t="n">
        <v>0.888</v>
      </c>
      <c r="G23" s="4" t="n">
        <v>32.137</v>
      </c>
    </row>
    <row r="24" customFormat="false" ht="13.8" hidden="false" customHeight="false" outlineLevel="0" collapsed="false">
      <c r="A24" s="3" t="s">
        <v>45</v>
      </c>
      <c r="B24" s="3" t="s">
        <v>46</v>
      </c>
      <c r="C24" s="4" t="n">
        <v>-50.274</v>
      </c>
      <c r="D24" s="4" t="n">
        <v>-59.296</v>
      </c>
      <c r="E24" s="4" t="n">
        <v>-61.504</v>
      </c>
      <c r="F24" s="4" t="n">
        <v>-62.222</v>
      </c>
      <c r="G24" s="4" t="n">
        <v>-45.709</v>
      </c>
    </row>
    <row r="25" customFormat="false" ht="13.8" hidden="false" customHeight="false" outlineLevel="0" collapsed="false">
      <c r="A25" s="1" t="s">
        <v>47</v>
      </c>
    </row>
    <row r="26" customFormat="false" ht="13.8" hidden="false" customHeight="false" outlineLevel="0" collapsed="false">
      <c r="A26" s="3" t="s">
        <v>48</v>
      </c>
      <c r="B26" s="3" t="s">
        <v>49</v>
      </c>
      <c r="C26" s="4" t="n">
        <v>137.397</v>
      </c>
    </row>
    <row r="27" customFormat="false" ht="13.8" hidden="false" customHeight="false" outlineLevel="0" collapsed="false">
      <c r="A27" s="3" t="s">
        <v>50</v>
      </c>
      <c r="B27" s="3" t="s">
        <v>51</v>
      </c>
      <c r="C27" s="4" t="n">
        <v>29.744</v>
      </c>
    </row>
    <row r="28" customFormat="false" ht="13.8" hidden="false" customHeight="false" outlineLevel="0" collapsed="false">
      <c r="A28" s="3" t="s">
        <v>52</v>
      </c>
      <c r="B28" s="3" t="s">
        <v>53</v>
      </c>
      <c r="C28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B9F"/>
    <pageSetUpPr fitToPage="false"/>
  </sheetPr>
  <dimension ref="A1:S2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"/>
    <col collapsed="false" customWidth="true" hidden="false" outlineLevel="0" max="19" min="4" style="0" width="14"/>
  </cols>
  <sheetData>
    <row r="1" customFormat="false" ht="15" hidden="false" customHeight="true" outlineLevel="0" collapsed="false">
      <c r="A1" s="5" t="s">
        <v>54</v>
      </c>
      <c r="B1" s="5"/>
      <c r="C1" s="5"/>
      <c r="D1" s="6" t="s">
        <v>55</v>
      </c>
      <c r="E1" s="6"/>
      <c r="F1" s="6"/>
      <c r="G1" s="6"/>
      <c r="H1" s="6"/>
      <c r="I1" s="7" t="s">
        <v>56</v>
      </c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5" hidden="false" customHeight="false" outlineLevel="0" collapsed="false">
      <c r="A2" s="5"/>
      <c r="B2" s="5"/>
      <c r="C2" s="5"/>
      <c r="D2" s="9" t="s">
        <v>57</v>
      </c>
      <c r="E2" s="9" t="s">
        <v>58</v>
      </c>
      <c r="F2" s="9" t="s">
        <v>59</v>
      </c>
      <c r="G2" s="9" t="s">
        <v>60</v>
      </c>
      <c r="H2" s="9" t="s">
        <v>61</v>
      </c>
      <c r="I2" s="10" t="s">
        <v>62</v>
      </c>
      <c r="J2" s="10" t="s">
        <v>63</v>
      </c>
      <c r="K2" s="10" t="s">
        <v>64</v>
      </c>
      <c r="L2" s="10" t="s">
        <v>65</v>
      </c>
      <c r="M2" s="10" t="s">
        <v>66</v>
      </c>
      <c r="N2" s="10" t="s">
        <v>67</v>
      </c>
      <c r="O2" s="10" t="s">
        <v>68</v>
      </c>
      <c r="P2" s="10" t="s">
        <v>69</v>
      </c>
      <c r="Q2" s="10" t="s">
        <v>70</v>
      </c>
      <c r="R2" s="10" t="s">
        <v>71</v>
      </c>
      <c r="S2" s="8"/>
    </row>
    <row r="3" customFormat="false" ht="13.8" hidden="false" customHeight="false" outlineLevel="0" collapsed="false">
      <c r="A3" s="11" t="s">
        <v>72</v>
      </c>
      <c r="D3" s="12" t="str">
        <f aca="false">IF(ABS(D60)&lt;0.005,"OK","ERROR")</f>
        <v>OK</v>
      </c>
      <c r="E3" s="12" t="str">
        <f aca="false">IF(ABS(E60)&lt;0.005,"OK","ERROR")</f>
        <v>OK</v>
      </c>
      <c r="F3" s="12" t="str">
        <f aca="false">IF(ABS(F60)&lt;0.005,"OK","ERROR")</f>
        <v>OK</v>
      </c>
      <c r="G3" s="12" t="str">
        <f aca="false">IF(ABS(G60)&lt;0.005,"OK","ERROR")</f>
        <v>OK</v>
      </c>
      <c r="H3" s="12" t="str">
        <f aca="false">IF(ABS(H60)&lt;0.005,"OK","ERROR")</f>
        <v>OK</v>
      </c>
      <c r="I3" s="12" t="str">
        <f aca="false">IF(ABS(I60)&lt;0.005,"OK","ERROR")</f>
        <v>OK</v>
      </c>
      <c r="J3" s="12" t="str">
        <f aca="false">IF(ABS(J60)&lt;0.005,"OK","ERROR")</f>
        <v>OK</v>
      </c>
      <c r="K3" s="12" t="str">
        <f aca="false">IF(ABS(K60)&lt;0.005,"OK","ERROR")</f>
        <v>OK</v>
      </c>
      <c r="L3" s="12" t="str">
        <f aca="false">IF(ABS(L60)&lt;0.005,"OK","ERROR")</f>
        <v>OK</v>
      </c>
      <c r="M3" s="12" t="str">
        <f aca="false">IF(ABS(M60)&lt;0.005,"OK","ERROR")</f>
        <v>OK</v>
      </c>
      <c r="N3" s="12" t="str">
        <f aca="false">IF(ABS(N60)&lt;0.005,"OK","ERROR")</f>
        <v>OK</v>
      </c>
      <c r="O3" s="12" t="str">
        <f aca="false">IF(ABS(O60)&lt;0.005,"OK","ERROR")</f>
        <v>OK</v>
      </c>
      <c r="P3" s="12" t="str">
        <f aca="false">IF(ABS(P60)&lt;0.005,"OK","ERROR")</f>
        <v>OK</v>
      </c>
      <c r="Q3" s="12" t="str">
        <f aca="false">IF(ABS(Q60)&lt;0.005,"OK","ERROR")</f>
        <v>OK</v>
      </c>
      <c r="R3" s="12" t="str">
        <f aca="false">IF(ABS(R60)&lt;0.005,"OK","ERROR")</f>
        <v>OK</v>
      </c>
    </row>
    <row r="4" customFormat="false" ht="13.8" hidden="false" customHeight="false" outlineLevel="0" collapsed="false">
      <c r="A4" s="13" t="s">
        <v>73</v>
      </c>
      <c r="E4" s="14" t="s">
        <v>74</v>
      </c>
    </row>
    <row r="5" customFormat="false" ht="16.15" hidden="false" customHeight="false" outlineLevel="0" collapsed="false">
      <c r="A5" s="15" t="s">
        <v>75</v>
      </c>
      <c r="B5" s="16"/>
      <c r="C5" s="16"/>
      <c r="D5" s="16"/>
      <c r="E5" s="17" t="s">
        <v>76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customFormat="false" ht="13.8" hidden="false" customHeight="false" outlineLevel="0" collapsed="false"/>
    <row r="7" customFormat="false" ht="13.8" hidden="false" customHeight="false" outlineLevel="0" collapsed="false">
      <c r="A7" s="18" t="s">
        <v>77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customFormat="false" ht="13.8" hidden="false" customHeight="false" outlineLevel="0" collapsed="false">
      <c r="A8" s="3" t="s">
        <v>78</v>
      </c>
      <c r="E8" s="20" t="n">
        <f aca="false">E26/D26-1</f>
        <v>0.0978081564371578</v>
      </c>
      <c r="F8" s="20" t="n">
        <f aca="false">F26/E26-1</f>
        <v>0.0868277022726951</v>
      </c>
      <c r="G8" s="20" t="n">
        <f aca="false">G26/F26-1</f>
        <v>0.138662433229015</v>
      </c>
      <c r="H8" s="20" t="n">
        <f aca="false">H26/G26-1</f>
        <v>0.151263649298036</v>
      </c>
      <c r="I8" s="21" t="n">
        <v>0.13</v>
      </c>
      <c r="J8" s="21" t="n">
        <v>0.12</v>
      </c>
      <c r="K8" s="21" t="n">
        <v>0.11</v>
      </c>
      <c r="L8" s="21" t="n">
        <v>0.1</v>
      </c>
      <c r="M8" s="21" t="n">
        <v>0.09</v>
      </c>
      <c r="N8" s="21" t="n">
        <v>0.08</v>
      </c>
      <c r="O8" s="21" t="n">
        <v>0.07</v>
      </c>
      <c r="P8" s="21" t="n">
        <v>0.06</v>
      </c>
      <c r="Q8" s="21" t="n">
        <v>0.05</v>
      </c>
      <c r="R8" s="21" t="n">
        <v>0.043</v>
      </c>
    </row>
    <row r="9" customFormat="false" ht="13.8" hidden="false" customHeight="false" outlineLevel="0" collapsed="false">
      <c r="A9" s="3" t="s">
        <v>79</v>
      </c>
      <c r="D9" s="20" t="n">
        <f aca="false">D27/D26</f>
        <v>0.430601970990192</v>
      </c>
      <c r="E9" s="20" t="n">
        <f aca="false">E27/E26</f>
        <v>0.446205574962169</v>
      </c>
      <c r="F9" s="20" t="n">
        <f aca="false">F27/F26</f>
        <v>0.433749520159795</v>
      </c>
      <c r="G9" s="20" t="n">
        <f aca="false">G27/G26</f>
        <v>0.417995645938209</v>
      </c>
      <c r="H9" s="20" t="n">
        <f aca="false">H27/H26</f>
        <v>0.403349687192124</v>
      </c>
      <c r="I9" s="21" t="n">
        <v>0.403</v>
      </c>
      <c r="J9" s="21" t="n">
        <v>0.403</v>
      </c>
      <c r="K9" s="21" t="n">
        <v>0.403</v>
      </c>
      <c r="L9" s="21" t="n">
        <v>0.403</v>
      </c>
      <c r="M9" s="21" t="n">
        <v>0.403</v>
      </c>
      <c r="N9" s="21" t="n">
        <v>0.403</v>
      </c>
      <c r="O9" s="21" t="n">
        <v>0.403</v>
      </c>
      <c r="P9" s="21" t="n">
        <v>0.403</v>
      </c>
      <c r="Q9" s="21" t="n">
        <v>0.403</v>
      </c>
      <c r="R9" s="21" t="n">
        <v>0.403</v>
      </c>
    </row>
    <row r="10" customFormat="false" ht="13.8" hidden="false" customHeight="false" outlineLevel="0" collapsed="false">
      <c r="A10" s="3" t="s">
        <v>80</v>
      </c>
      <c r="D10" s="20" t="n">
        <f aca="false">D30/D26</f>
        <v>0.100087332176667</v>
      </c>
      <c r="E10" s="20" t="n">
        <f aca="false">E30/E26</f>
        <v>0.112460224299594</v>
      </c>
      <c r="F10" s="20" t="n">
        <f aca="false">F30/F26</f>
        <v>0.128115057548293</v>
      </c>
      <c r="G10" s="20" t="n">
        <f aca="false">G30/G26</f>
        <v>0.117296824734728</v>
      </c>
      <c r="H10" s="20" t="n">
        <f aca="false">H30/H26</f>
        <v>0.122796633934133</v>
      </c>
      <c r="I10" s="21" t="n">
        <v>0.1208</v>
      </c>
      <c r="J10" s="21" t="n">
        <v>0.1186</v>
      </c>
      <c r="K10" s="21" t="n">
        <v>0.1164</v>
      </c>
      <c r="L10" s="21" t="n">
        <v>0.1148</v>
      </c>
      <c r="M10" s="21" t="n">
        <v>0.1131</v>
      </c>
      <c r="N10" s="21" t="n">
        <v>0.1115</v>
      </c>
      <c r="O10" s="21" t="n">
        <v>0.1098</v>
      </c>
      <c r="P10" s="21" t="n">
        <v>0.1087</v>
      </c>
      <c r="Q10" s="21" t="n">
        <v>0.1076</v>
      </c>
      <c r="R10" s="21" t="n">
        <v>0.1071</v>
      </c>
    </row>
    <row r="11" customFormat="false" ht="13.8" hidden="false" customHeight="false" outlineLevel="0" collapsed="false">
      <c r="A11" s="3" t="s">
        <v>81</v>
      </c>
      <c r="D11" s="22" t="n">
        <f aca="false">D31</f>
        <v>29.7568</v>
      </c>
      <c r="E11" s="22" t="n">
        <f aca="false">E31</f>
        <v>34.0552</v>
      </c>
      <c r="F11" s="22" t="n">
        <f aca="false">F31</f>
        <v>38.4412</v>
      </c>
      <c r="G11" s="22" t="n">
        <f aca="false">G31</f>
        <v>34.955</v>
      </c>
      <c r="H11" s="22" t="n">
        <f aca="false">H31</f>
        <v>40.6435</v>
      </c>
      <c r="I11" s="4" t="n">
        <v>45.17</v>
      </c>
      <c r="J11" s="4" t="n">
        <v>49.67</v>
      </c>
      <c r="K11" s="4" t="n">
        <v>54.12</v>
      </c>
      <c r="L11" s="4" t="n">
        <v>58.7</v>
      </c>
      <c r="M11" s="4" t="n">
        <v>63.05</v>
      </c>
      <c r="N11" s="4" t="n">
        <v>67.11</v>
      </c>
      <c r="O11" s="4" t="n">
        <v>70.76</v>
      </c>
      <c r="P11" s="4" t="n">
        <v>74.24</v>
      </c>
      <c r="Q11" s="4" t="n">
        <v>77.14</v>
      </c>
      <c r="R11" s="4" t="n">
        <v>80.08</v>
      </c>
    </row>
    <row r="12" customFormat="false" ht="13.8" hidden="false" customHeight="false" outlineLevel="0" collapsed="false">
      <c r="A12" s="3" t="s">
        <v>82</v>
      </c>
      <c r="D12" s="20" t="n">
        <f aca="false">D32/D96</f>
        <v>0.0905478285552086</v>
      </c>
      <c r="E12" s="20" t="n">
        <f aca="false">E32/E96</f>
        <v>0.106473435118586</v>
      </c>
      <c r="F12" s="20" t="n">
        <f aca="false">F32/F96</f>
        <v>0.0723329276489074</v>
      </c>
      <c r="G12" s="20" t="n">
        <f aca="false">G32/G96</f>
        <v>0.0825577758845669</v>
      </c>
      <c r="H12" s="20" t="n">
        <f aca="false">H32/H96</f>
        <v>0.0949156195830826</v>
      </c>
      <c r="I12" s="21" t="n">
        <v>0.065</v>
      </c>
      <c r="J12" s="21" t="n">
        <v>0.065</v>
      </c>
      <c r="K12" s="21" t="n">
        <v>0.065</v>
      </c>
      <c r="L12" s="21" t="n">
        <v>0.065</v>
      </c>
      <c r="M12" s="21" t="n">
        <v>0.065</v>
      </c>
      <c r="N12" s="21" t="n">
        <v>0.065</v>
      </c>
      <c r="O12" s="21" t="n">
        <v>0.065</v>
      </c>
      <c r="P12" s="21" t="n">
        <v>0.065</v>
      </c>
      <c r="Q12" s="21" t="n">
        <v>0.065</v>
      </c>
      <c r="R12" s="21" t="n">
        <v>0.065</v>
      </c>
    </row>
    <row r="13" customFormat="false" ht="13.8" hidden="false" customHeight="false" outlineLevel="0" collapsed="false">
      <c r="A13" s="3" t="s">
        <v>83</v>
      </c>
      <c r="D13" s="20" t="n">
        <f aca="false">D33/AVERAGE(D102,D104)</f>
        <v>0.0118794204490833</v>
      </c>
      <c r="E13" s="20" t="n">
        <f aca="false">E33/AVERAGE(E102,E104)</f>
        <v>0.0127911142959513</v>
      </c>
      <c r="F13" s="20" t="n">
        <f aca="false">F33/AVERAGE(F102,F104)</f>
        <v>0.0114362097133521</v>
      </c>
      <c r="G13" s="20" t="n">
        <f aca="false">G33/AVERAGE(G102,G104)</f>
        <v>0.00992739665135576</v>
      </c>
      <c r="H13" s="20" t="n">
        <f aca="false">H33/AVERAGE(H102,H104)</f>
        <v>0.00328671409035016</v>
      </c>
      <c r="I13" s="21" t="n">
        <v>0.03</v>
      </c>
      <c r="J13" s="21" t="n">
        <v>0.03</v>
      </c>
      <c r="K13" s="21" t="n">
        <v>0.03</v>
      </c>
      <c r="L13" s="21" t="n">
        <v>0.03</v>
      </c>
      <c r="M13" s="21" t="n">
        <v>0.03</v>
      </c>
      <c r="N13" s="21" t="n">
        <v>0.03</v>
      </c>
      <c r="O13" s="21" t="n">
        <v>0.03</v>
      </c>
      <c r="P13" s="21" t="n">
        <v>0.03</v>
      </c>
      <c r="Q13" s="21" t="n">
        <v>0.03</v>
      </c>
      <c r="R13" s="21" t="n">
        <v>0.03</v>
      </c>
    </row>
    <row r="14" customFormat="false" ht="13.8" hidden="false" customHeight="false" outlineLevel="0" collapsed="false">
      <c r="A14" s="3" t="s">
        <v>84</v>
      </c>
      <c r="D14" s="20" t="n">
        <f aca="false">IF(D35=0,0,D37/D35)</f>
        <v>0.187589322172315</v>
      </c>
      <c r="E14" s="20" t="n">
        <f aca="false">IF(E35=0,0,E37/E35)</f>
        <v>0.15246022689132</v>
      </c>
      <c r="F14" s="20" t="n">
        <f aca="false">IF(F35=0,0,F37/F35)</f>
        <v>0.141953920342918</v>
      </c>
      <c r="G14" s="20" t="n">
        <f aca="false">IF(G35=0,0,G37/G35)</f>
        <v>0.175674711475001</v>
      </c>
      <c r="H14" s="20" t="n">
        <f aca="false">IF(H35=0,0,H37/H35)</f>
        <v>0.206598823465584</v>
      </c>
      <c r="I14" s="21" t="n">
        <v>0.17</v>
      </c>
      <c r="J14" s="21" t="n">
        <v>0.17</v>
      </c>
      <c r="K14" s="21" t="n">
        <v>0.17</v>
      </c>
      <c r="L14" s="21" t="n">
        <v>0.17</v>
      </c>
      <c r="M14" s="21" t="n">
        <v>0.17</v>
      </c>
      <c r="N14" s="21" t="n">
        <v>0.17</v>
      </c>
      <c r="O14" s="21" t="n">
        <v>0.17</v>
      </c>
      <c r="P14" s="21" t="n">
        <v>0.17</v>
      </c>
      <c r="Q14" s="21" t="n">
        <v>0.17</v>
      </c>
      <c r="R14" s="21" t="n">
        <v>0.17</v>
      </c>
    </row>
    <row r="15" customFormat="false" ht="13.8" hidden="false" customHeight="false" outlineLevel="0" collapsed="false">
      <c r="A15" s="3" t="s">
        <v>85</v>
      </c>
      <c r="D15" s="23" t="n">
        <f aca="false">D45/D26*D21</f>
        <v>55.6828405857854</v>
      </c>
      <c r="E15" s="23" t="n">
        <f aca="false">E45/E26*E21</f>
        <v>51.9529692118401</v>
      </c>
      <c r="F15" s="23" t="n">
        <f aca="false">F45/F26*F21</f>
        <v>56.9525104588899</v>
      </c>
      <c r="G15" s="23" t="n">
        <f aca="false">G45/G26*G21</f>
        <v>54.5803358684411</v>
      </c>
      <c r="H15" s="23" t="n">
        <f aca="false">H45/H26*H21</f>
        <v>56.9615324483886</v>
      </c>
      <c r="I15" s="24" t="n">
        <v>56</v>
      </c>
      <c r="J15" s="24" t="n">
        <v>56</v>
      </c>
      <c r="K15" s="24" t="n">
        <v>56</v>
      </c>
      <c r="L15" s="24" t="n">
        <v>56</v>
      </c>
      <c r="M15" s="24" t="n">
        <v>56</v>
      </c>
      <c r="N15" s="24" t="n">
        <v>56</v>
      </c>
      <c r="O15" s="24" t="n">
        <v>56</v>
      </c>
      <c r="P15" s="24" t="n">
        <v>56</v>
      </c>
      <c r="Q15" s="24" t="n">
        <v>56</v>
      </c>
      <c r="R15" s="24" t="n">
        <v>56</v>
      </c>
    </row>
    <row r="16" customFormat="false" ht="13.8" hidden="false" customHeight="false" outlineLevel="0" collapsed="false">
      <c r="A16" s="3" t="s">
        <v>86</v>
      </c>
      <c r="D16" s="23" t="n">
        <f aca="false">D46/D27*D21</f>
        <v>3.84941274033478</v>
      </c>
      <c r="E16" s="23" t="n">
        <f aca="false">E46/E27*E21</f>
        <v>7.72208267632307</v>
      </c>
      <c r="F16" s="23" t="n">
        <f aca="false">F46/F27*F21</f>
        <v>0</v>
      </c>
      <c r="G16" s="23" t="n">
        <f aca="false">G46/G27*G21</f>
        <v>0</v>
      </c>
      <c r="H16" s="23" t="n">
        <f aca="false">H46/H27*H21</f>
        <v>0</v>
      </c>
      <c r="I16" s="24" t="n">
        <v>0</v>
      </c>
      <c r="J16" s="24" t="n">
        <v>0</v>
      </c>
      <c r="K16" s="24" t="n">
        <v>0</v>
      </c>
      <c r="L16" s="24" t="n">
        <v>0</v>
      </c>
      <c r="M16" s="24" t="n">
        <v>0</v>
      </c>
      <c r="N16" s="24" t="n">
        <v>0</v>
      </c>
      <c r="O16" s="24" t="n">
        <v>0</v>
      </c>
      <c r="P16" s="24" t="n">
        <v>0</v>
      </c>
      <c r="Q16" s="24" t="n">
        <v>0</v>
      </c>
      <c r="R16" s="24" t="n">
        <v>0</v>
      </c>
    </row>
    <row r="17" customFormat="false" ht="13.8" hidden="false" customHeight="false" outlineLevel="0" collapsed="false">
      <c r="A17" s="3" t="s">
        <v>87</v>
      </c>
      <c r="D17" s="23" t="n">
        <f aca="false">D51/D27*D21</f>
        <v>260.328874426487</v>
      </c>
      <c r="E17" s="23" t="n">
        <f aca="false">E51/E27*E21</f>
        <v>229.75654302988</v>
      </c>
      <c r="F17" s="23" t="n">
        <f aca="false">F51/F27*F21</f>
        <v>251.556865568656</v>
      </c>
      <c r="G17" s="23" t="n">
        <f aca="false">G51/G27*G21</f>
        <v>248.756134403237</v>
      </c>
      <c r="H17" s="23" t="n">
        <f aca="false">H51/H27*H21</f>
        <v>271.10853047036</v>
      </c>
      <c r="I17" s="24" t="n">
        <v>260</v>
      </c>
      <c r="J17" s="24" t="n">
        <v>260</v>
      </c>
      <c r="K17" s="24" t="n">
        <v>260</v>
      </c>
      <c r="L17" s="24" t="n">
        <v>260</v>
      </c>
      <c r="M17" s="24" t="n">
        <v>260</v>
      </c>
      <c r="N17" s="24" t="n">
        <v>260</v>
      </c>
      <c r="O17" s="24" t="n">
        <v>260</v>
      </c>
      <c r="P17" s="24" t="n">
        <v>260</v>
      </c>
      <c r="Q17" s="24" t="n">
        <v>260</v>
      </c>
      <c r="R17" s="24" t="n">
        <v>260</v>
      </c>
    </row>
    <row r="18" customFormat="false" ht="13.8" hidden="false" customHeight="false" outlineLevel="0" collapsed="false">
      <c r="A18" s="3" t="s">
        <v>88</v>
      </c>
      <c r="D18" s="22" t="n">
        <f aca="false">D97</f>
        <v>24.64</v>
      </c>
      <c r="E18" s="22" t="n">
        <f aca="false">E97</f>
        <v>31.485</v>
      </c>
      <c r="F18" s="22" t="n">
        <f aca="false">F97</f>
        <v>32.251</v>
      </c>
      <c r="G18" s="22" t="n">
        <f aca="false">G97</f>
        <v>52.535</v>
      </c>
      <c r="H18" s="22" t="n">
        <f aca="false">H97</f>
        <v>91.447</v>
      </c>
      <c r="I18" s="4" t="n">
        <v>95</v>
      </c>
      <c r="J18" s="4" t="n">
        <v>100</v>
      </c>
      <c r="K18" s="4" t="n">
        <v>100</v>
      </c>
      <c r="L18" s="4" t="n">
        <v>95</v>
      </c>
      <c r="M18" s="4" t="n">
        <v>90</v>
      </c>
      <c r="N18" s="4" t="n">
        <v>85</v>
      </c>
      <c r="O18" s="4" t="n">
        <v>80</v>
      </c>
      <c r="P18" s="4" t="n">
        <v>78</v>
      </c>
      <c r="Q18" s="4" t="n">
        <v>76</v>
      </c>
      <c r="R18" s="4" t="n">
        <v>75</v>
      </c>
    </row>
    <row r="19" customFormat="false" ht="13.8" hidden="false" customHeight="false" outlineLevel="0" collapsed="false">
      <c r="A19" s="3" t="s">
        <v>89</v>
      </c>
      <c r="D19" s="22" t="n">
        <f aca="false">D103</f>
        <v>-1.236</v>
      </c>
      <c r="E19" s="22" t="n">
        <f aca="false">E103</f>
        <v>-1.196</v>
      </c>
      <c r="F19" s="22" t="n">
        <f aca="false">F103</f>
        <v>-0.76</v>
      </c>
      <c r="G19" s="22" t="n">
        <f aca="false">G103</f>
        <v>0.888</v>
      </c>
      <c r="H19" s="22" t="n">
        <f aca="false">H103</f>
        <v>32.137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</row>
    <row r="20" customFormat="false" ht="13.8" hidden="false" customHeight="false" outlineLevel="0" collapsed="false">
      <c r="A20" s="3" t="s">
        <v>90</v>
      </c>
      <c r="D20" s="22" t="n">
        <f aca="false">D77</f>
        <v>0</v>
      </c>
      <c r="E20" s="22" t="n">
        <f aca="false">E77</f>
        <v>-59.296</v>
      </c>
      <c r="F20" s="22" t="n">
        <f aca="false">F77</f>
        <v>-61.504</v>
      </c>
      <c r="G20" s="22" t="n">
        <f aca="false">G77</f>
        <v>-62.222</v>
      </c>
      <c r="H20" s="22" t="n">
        <f aca="false">H77</f>
        <v>-45.709</v>
      </c>
      <c r="I20" s="4" t="n">
        <v>-70</v>
      </c>
      <c r="J20" s="4" t="n">
        <v>-70</v>
      </c>
      <c r="K20" s="4" t="n">
        <v>-70</v>
      </c>
      <c r="L20" s="4" t="n">
        <v>-70</v>
      </c>
      <c r="M20" s="4" t="n">
        <v>-70</v>
      </c>
      <c r="N20" s="4" t="n">
        <v>-70</v>
      </c>
      <c r="O20" s="4" t="n">
        <v>-70</v>
      </c>
      <c r="P20" s="4" t="n">
        <v>-70</v>
      </c>
      <c r="Q20" s="4" t="n">
        <v>-70</v>
      </c>
      <c r="R20" s="4" t="n">
        <v>-70</v>
      </c>
    </row>
    <row r="21" customFormat="false" ht="13.8" hidden="false" customHeight="false" outlineLevel="0" collapsed="false">
      <c r="A21" s="3" t="s">
        <v>91</v>
      </c>
      <c r="D21" s="23" t="n">
        <v>365</v>
      </c>
      <c r="E21" s="23" t="n">
        <v>365</v>
      </c>
      <c r="F21" s="23" t="n">
        <v>365</v>
      </c>
      <c r="G21" s="23" t="n">
        <v>365</v>
      </c>
      <c r="H21" s="23" t="n">
        <v>365</v>
      </c>
      <c r="I21" s="24" t="n">
        <v>365</v>
      </c>
      <c r="J21" s="24" t="n">
        <v>365</v>
      </c>
      <c r="K21" s="24" t="n">
        <v>365</v>
      </c>
      <c r="L21" s="24" t="n">
        <v>365</v>
      </c>
      <c r="M21" s="24" t="n">
        <v>365</v>
      </c>
      <c r="N21" s="24" t="n">
        <v>365</v>
      </c>
      <c r="O21" s="24" t="n">
        <v>365</v>
      </c>
      <c r="P21" s="24" t="n">
        <v>365</v>
      </c>
      <c r="Q21" s="24" t="n">
        <v>365</v>
      </c>
      <c r="R21" s="24" t="n">
        <v>365</v>
      </c>
    </row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6.15" hidden="false" customHeight="false" outlineLevel="0" collapsed="false">
      <c r="A24" s="15" t="s">
        <v>92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5" customFormat="false" ht="13.8" hidden="false" customHeight="false" outlineLevel="0" collapsed="false"/>
    <row r="26" customFormat="false" ht="13.8" hidden="false" customHeight="false" outlineLevel="0" collapsed="false">
      <c r="A26" s="2" t="s">
        <v>10</v>
      </c>
      <c r="D26" s="4" t="n">
        <f aca="false">Data_Input!C5</f>
        <v>257.637</v>
      </c>
      <c r="E26" s="4" t="n">
        <f aca="false">Data_Input!D5</f>
        <v>282.836</v>
      </c>
      <c r="F26" s="4" t="n">
        <f aca="false">Data_Input!E5</f>
        <v>307.394</v>
      </c>
      <c r="G26" s="4" t="n">
        <f aca="false">Data_Input!F5</f>
        <v>350.018</v>
      </c>
      <c r="H26" s="4" t="n">
        <f aca="false">Data_Input!G5</f>
        <v>402.963</v>
      </c>
      <c r="I26" s="25" t="n">
        <f aca="false">H26*(1+I8)</f>
        <v>455.34819</v>
      </c>
      <c r="J26" s="25" t="n">
        <f aca="false">I26*(1+J8)</f>
        <v>509.9899728</v>
      </c>
      <c r="K26" s="25" t="n">
        <f aca="false">J26*(1+K8)</f>
        <v>566.088869808</v>
      </c>
      <c r="L26" s="25" t="n">
        <f aca="false">K26*(1+L8)</f>
        <v>622.6977567888</v>
      </c>
      <c r="M26" s="25" t="n">
        <f aca="false">L26*(1+M8)</f>
        <v>678.740554899792</v>
      </c>
      <c r="N26" s="25" t="n">
        <f aca="false">M26*(1+N8)</f>
        <v>733.039799291776</v>
      </c>
      <c r="O26" s="25" t="n">
        <f aca="false">N26*(1+O8)</f>
        <v>784.3525852422</v>
      </c>
      <c r="P26" s="25" t="n">
        <f aca="false">O26*(1+P8)</f>
        <v>831.413740356732</v>
      </c>
      <c r="Q26" s="25" t="n">
        <f aca="false">P26*(1+Q8)</f>
        <v>872.984427374569</v>
      </c>
      <c r="R26" s="25" t="n">
        <f aca="false">Q26*(1+R8)</f>
        <v>910.522757751675</v>
      </c>
    </row>
    <row r="27" customFormat="false" ht="13.8" hidden="false" customHeight="false" outlineLevel="0" collapsed="false">
      <c r="A27" s="3" t="s">
        <v>93</v>
      </c>
      <c r="D27" s="4" t="n">
        <f aca="false">Data_Input!C6</f>
        <v>110.939</v>
      </c>
      <c r="E27" s="4" t="n">
        <f aca="false">Data_Input!D6</f>
        <v>126.203</v>
      </c>
      <c r="F27" s="4" t="n">
        <f aca="false">Data_Input!E6</f>
        <v>133.332</v>
      </c>
      <c r="G27" s="4" t="n">
        <f aca="false">Data_Input!F6</f>
        <v>146.306</v>
      </c>
      <c r="H27" s="4" t="n">
        <f aca="false">Data_Input!G6</f>
        <v>162.535</v>
      </c>
      <c r="I27" s="22" t="n">
        <f aca="false">I26*I9</f>
        <v>183.50532057</v>
      </c>
      <c r="J27" s="22" t="n">
        <f aca="false">J26*J9</f>
        <v>205.5259590384</v>
      </c>
      <c r="K27" s="22" t="n">
        <f aca="false">K26*K9</f>
        <v>228.133814532624</v>
      </c>
      <c r="L27" s="22" t="n">
        <f aca="false">L26*L9</f>
        <v>250.947195985887</v>
      </c>
      <c r="M27" s="22" t="n">
        <f aca="false">M26*M9</f>
        <v>273.532443624616</v>
      </c>
      <c r="N27" s="22" t="n">
        <f aca="false">N26*N9</f>
        <v>295.415039114586</v>
      </c>
      <c r="O27" s="22" t="n">
        <f aca="false">O26*O9</f>
        <v>316.094091852607</v>
      </c>
      <c r="P27" s="22" t="n">
        <f aca="false">P26*P9</f>
        <v>335.059737363763</v>
      </c>
      <c r="Q27" s="22" t="n">
        <f aca="false">Q26*Q9</f>
        <v>351.812724231951</v>
      </c>
      <c r="R27" s="22" t="n">
        <f aca="false">R26*R9</f>
        <v>366.940671373925</v>
      </c>
    </row>
    <row r="28" customFormat="false" ht="13.8" hidden="false" customHeight="false" outlineLevel="0" collapsed="false">
      <c r="A28" s="2" t="s">
        <v>94</v>
      </c>
      <c r="D28" s="25" t="n">
        <f aca="false">D26-D27</f>
        <v>146.698</v>
      </c>
      <c r="E28" s="25" t="n">
        <f aca="false">E26-E27</f>
        <v>156.633</v>
      </c>
      <c r="F28" s="25" t="n">
        <f aca="false">F26-F27</f>
        <v>174.062</v>
      </c>
      <c r="G28" s="25" t="n">
        <f aca="false">G26-G27</f>
        <v>203.712</v>
      </c>
      <c r="H28" s="25" t="n">
        <f aca="false">H26-H27</f>
        <v>240.428</v>
      </c>
      <c r="I28" s="25" t="n">
        <f aca="false">I26-I27</f>
        <v>271.84286943</v>
      </c>
      <c r="J28" s="25" t="n">
        <f aca="false">J26-J27</f>
        <v>304.4640137616</v>
      </c>
      <c r="K28" s="25" t="n">
        <f aca="false">K26-K27</f>
        <v>337.955055275376</v>
      </c>
      <c r="L28" s="25" t="n">
        <f aca="false">L26-L27</f>
        <v>371.750560802914</v>
      </c>
      <c r="M28" s="25" t="n">
        <f aca="false">M26-M27</f>
        <v>405.208111275176</v>
      </c>
      <c r="N28" s="25" t="n">
        <f aca="false">N26-N27</f>
        <v>437.62476017719</v>
      </c>
      <c r="O28" s="25" t="n">
        <f aca="false">O26-O27</f>
        <v>468.258493389593</v>
      </c>
      <c r="P28" s="25" t="n">
        <f aca="false">P26-P27</f>
        <v>496.354002992969</v>
      </c>
      <c r="Q28" s="25" t="n">
        <f aca="false">Q26-Q27</f>
        <v>521.171703142618</v>
      </c>
      <c r="R28" s="25" t="n">
        <f aca="false">R26-R27</f>
        <v>543.58208637775</v>
      </c>
    </row>
    <row r="29" customFormat="false" ht="13.8" hidden="false" customHeight="false" outlineLevel="0" collapsed="false">
      <c r="A29" s="2" t="s">
        <v>95</v>
      </c>
    </row>
    <row r="30" customFormat="false" ht="13.8" hidden="false" customHeight="false" outlineLevel="0" collapsed="false">
      <c r="A30" s="3" t="s">
        <v>96</v>
      </c>
      <c r="D30" s="4" t="n">
        <f aca="false">Data_Input!C7</f>
        <v>25.7862</v>
      </c>
      <c r="E30" s="4" t="n">
        <f aca="false">Data_Input!D7</f>
        <v>31.8078</v>
      </c>
      <c r="F30" s="4" t="n">
        <f aca="false">Data_Input!E7</f>
        <v>39.3818</v>
      </c>
      <c r="G30" s="4" t="n">
        <f aca="false">Data_Input!F7</f>
        <v>41.056</v>
      </c>
      <c r="H30" s="4" t="n">
        <f aca="false">Data_Input!G7</f>
        <v>49.4825</v>
      </c>
      <c r="I30" s="22" t="n">
        <f aca="false">I26*I10</f>
        <v>55.006061352</v>
      </c>
      <c r="J30" s="22" t="n">
        <f aca="false">J26*J10</f>
        <v>60.48481077408</v>
      </c>
      <c r="K30" s="22" t="n">
        <f aca="false">K26*K10</f>
        <v>65.8927444456512</v>
      </c>
      <c r="L30" s="22" t="n">
        <f aca="false">L26*L10</f>
        <v>71.4857024793543</v>
      </c>
      <c r="M30" s="22" t="n">
        <f aca="false">M26*M10</f>
        <v>76.7655567591665</v>
      </c>
      <c r="N30" s="22" t="n">
        <f aca="false">N26*N10</f>
        <v>81.733937621033</v>
      </c>
      <c r="O30" s="22" t="n">
        <f aca="false">O26*O10</f>
        <v>86.1219138595936</v>
      </c>
      <c r="P30" s="22" t="n">
        <f aca="false">P26*P10</f>
        <v>90.3746735767768</v>
      </c>
      <c r="Q30" s="22" t="n">
        <f aca="false">Q26*Q10</f>
        <v>93.9331243855036</v>
      </c>
      <c r="R30" s="22" t="n">
        <f aca="false">R26*R10</f>
        <v>97.5169873552044</v>
      </c>
    </row>
    <row r="31" customFormat="false" ht="13.8" hidden="false" customHeight="false" outlineLevel="0" collapsed="false">
      <c r="A31" s="3" t="s">
        <v>97</v>
      </c>
      <c r="D31" s="4" t="n">
        <f aca="false">Data_Input!C8</f>
        <v>29.7568</v>
      </c>
      <c r="E31" s="4" t="n">
        <f aca="false">Data_Input!D8</f>
        <v>34.0552</v>
      </c>
      <c r="F31" s="4" t="n">
        <f aca="false">Data_Input!E8</f>
        <v>38.4412</v>
      </c>
      <c r="G31" s="4" t="n">
        <f aca="false">Data_Input!F8</f>
        <v>34.955</v>
      </c>
      <c r="H31" s="4" t="n">
        <f aca="false">Data_Input!G8</f>
        <v>40.6435</v>
      </c>
      <c r="I31" s="22" t="n">
        <f aca="false">I11</f>
        <v>45.17</v>
      </c>
      <c r="J31" s="22" t="n">
        <f aca="false">J11</f>
        <v>49.67</v>
      </c>
      <c r="K31" s="22" t="n">
        <f aca="false">K11</f>
        <v>54.12</v>
      </c>
      <c r="L31" s="22" t="n">
        <f aca="false">L11</f>
        <v>58.7</v>
      </c>
      <c r="M31" s="22" t="n">
        <f aca="false">M11</f>
        <v>63.05</v>
      </c>
      <c r="N31" s="22" t="n">
        <f aca="false">N11</f>
        <v>67.11</v>
      </c>
      <c r="O31" s="22" t="n">
        <f aca="false">O11</f>
        <v>70.76</v>
      </c>
      <c r="P31" s="22" t="n">
        <f aca="false">P11</f>
        <v>74.24</v>
      </c>
      <c r="Q31" s="22" t="n">
        <f aca="false">Q11</f>
        <v>77.14</v>
      </c>
      <c r="R31" s="22" t="n">
        <f aca="false">R11</f>
        <v>80.08</v>
      </c>
    </row>
    <row r="32" customFormat="false" ht="13.8" hidden="false" customHeight="false" outlineLevel="0" collapsed="false">
      <c r="A32" s="3" t="s">
        <v>98</v>
      </c>
      <c r="D32" s="4" t="n">
        <f aca="false">Data_Input!C9</f>
        <v>12.441</v>
      </c>
      <c r="E32" s="4" t="n">
        <f aca="false">Data_Input!D9</f>
        <v>15.928</v>
      </c>
      <c r="F32" s="4" t="n">
        <f aca="false">Data_Input!E9</f>
        <v>11.946</v>
      </c>
      <c r="G32" s="4" t="n">
        <f aca="false">Data_Input!F9</f>
        <v>15.311</v>
      </c>
      <c r="H32" s="4" t="n">
        <f aca="false">Data_Input!G9</f>
        <v>21.136</v>
      </c>
      <c r="I32" s="22" t="n">
        <f aca="false">I12*I96</f>
        <v>21.896225</v>
      </c>
      <c r="J32" s="22" t="n">
        <f aca="false">J12*J96</f>
        <v>26.647970375</v>
      </c>
      <c r="K32" s="22" t="n">
        <f aca="false">K12*K96</f>
        <v>31.415852300625</v>
      </c>
      <c r="L32" s="22" t="n">
        <f aca="false">L12*L96</f>
        <v>35.8738219010844</v>
      </c>
      <c r="M32" s="22" t="n">
        <f aca="false">M12*M96</f>
        <v>39.7170234775139</v>
      </c>
      <c r="N32" s="22" t="n">
        <f aca="false">N12*N96</f>
        <v>42.9854169514755</v>
      </c>
      <c r="O32" s="22" t="n">
        <f aca="false">O12*O96</f>
        <v>45.7163648496296</v>
      </c>
      <c r="P32" s="22" t="n">
        <f aca="false">P12*P96</f>
        <v>47.9448011344037</v>
      </c>
      <c r="Q32" s="22" t="n">
        <f aca="false">Q12*Q96</f>
        <v>49.8983890606674</v>
      </c>
      <c r="R32" s="22" t="n">
        <f aca="false">R12*R96</f>
        <v>51.594993771724</v>
      </c>
    </row>
    <row r="33" customFormat="false" ht="13.8" hidden="false" customHeight="false" outlineLevel="0" collapsed="false">
      <c r="A33" s="3" t="s">
        <v>20</v>
      </c>
      <c r="D33" s="4" t="n">
        <f aca="false">Data_Input!C10</f>
        <v>0.346</v>
      </c>
      <c r="E33" s="4" t="n">
        <f aca="false">Data_Input!D10</f>
        <v>0.357</v>
      </c>
      <c r="F33" s="4" t="n">
        <f aca="false">Data_Input!E10</f>
        <v>0.308</v>
      </c>
      <c r="G33" s="4" t="n">
        <f aca="false">Data_Input!F10</f>
        <v>0.268</v>
      </c>
      <c r="H33" s="4" t="n">
        <f aca="false">Data_Input!G10</f>
        <v>0.143</v>
      </c>
      <c r="I33" s="22" t="n">
        <f aca="false">I13*AVERAGE(I102,I104)</f>
        <v>1.77873</v>
      </c>
      <c r="J33" s="22" t="n">
        <f aca="false">J13*AVERAGE(J102,J104)</f>
        <v>1.77873</v>
      </c>
      <c r="K33" s="22" t="n">
        <f aca="false">K13*AVERAGE(K102,K104)</f>
        <v>1.77873</v>
      </c>
      <c r="L33" s="22" t="n">
        <f aca="false">L13*AVERAGE(L102,L104)</f>
        <v>1.77873</v>
      </c>
      <c r="M33" s="22" t="n">
        <f aca="false">M13*AVERAGE(M102,M104)</f>
        <v>1.77873</v>
      </c>
      <c r="N33" s="22" t="n">
        <f aca="false">N13*AVERAGE(N102,N104)</f>
        <v>1.77873</v>
      </c>
      <c r="O33" s="22" t="n">
        <f aca="false">O13*AVERAGE(O102,O104)</f>
        <v>1.77873</v>
      </c>
      <c r="P33" s="22" t="n">
        <f aca="false">P13*AVERAGE(P102,P104)</f>
        <v>1.77873</v>
      </c>
      <c r="Q33" s="22" t="n">
        <f aca="false">Q13*AVERAGE(Q102,Q104)</f>
        <v>1.77873</v>
      </c>
      <c r="R33" s="22" t="n">
        <f aca="false">R13*AVERAGE(R102,R104)</f>
        <v>1.77873</v>
      </c>
    </row>
    <row r="34" customFormat="false" ht="13.8" hidden="false" customHeight="false" outlineLevel="0" collapsed="false">
      <c r="A34" s="2" t="s">
        <v>99</v>
      </c>
      <c r="D34" s="26" t="n">
        <f aca="false">SUM(D30:D33)</f>
        <v>68.33</v>
      </c>
      <c r="E34" s="26" t="n">
        <f aca="false">SUM(E30:E33)</f>
        <v>82.148</v>
      </c>
      <c r="F34" s="26" t="n">
        <f aca="false">SUM(F30:F33)</f>
        <v>90.077</v>
      </c>
      <c r="G34" s="26" t="n">
        <f aca="false">SUM(G30:G33)</f>
        <v>91.59</v>
      </c>
      <c r="H34" s="26" t="n">
        <f aca="false">SUM(H30:H33)</f>
        <v>111.405</v>
      </c>
      <c r="I34" s="26" t="n">
        <f aca="false">SUM(I30:I33)</f>
        <v>123.851016352</v>
      </c>
      <c r="J34" s="26" t="n">
        <f aca="false">SUM(J30:J33)</f>
        <v>138.58151114908</v>
      </c>
      <c r="K34" s="26" t="n">
        <f aca="false">SUM(K30:K33)</f>
        <v>153.207326746276</v>
      </c>
      <c r="L34" s="26" t="n">
        <f aca="false">SUM(L30:L33)</f>
        <v>167.838254380439</v>
      </c>
      <c r="M34" s="26" t="n">
        <f aca="false">SUM(M30:M33)</f>
        <v>181.31131023668</v>
      </c>
      <c r="N34" s="26" t="n">
        <f aca="false">SUM(N30:N33)</f>
        <v>193.608084572509</v>
      </c>
      <c r="O34" s="26" t="n">
        <f aca="false">SUM(O30:O33)</f>
        <v>204.377008709223</v>
      </c>
      <c r="P34" s="26" t="n">
        <f aca="false">SUM(P30:P33)</f>
        <v>214.33820471118</v>
      </c>
      <c r="Q34" s="26" t="n">
        <f aca="false">SUM(Q30:Q33)</f>
        <v>222.750243446171</v>
      </c>
      <c r="R34" s="26" t="n">
        <f aca="false">SUM(R30:R33)</f>
        <v>230.970711126928</v>
      </c>
    </row>
    <row r="35" customFormat="false" ht="13.8" hidden="false" customHeight="false" outlineLevel="0" collapsed="false">
      <c r="A35" s="2" t="s">
        <v>100</v>
      </c>
      <c r="D35" s="25" t="n">
        <f aca="false">D28-D34</f>
        <v>78.368</v>
      </c>
      <c r="E35" s="25" t="n">
        <f aca="false">E28-E34</f>
        <v>74.485</v>
      </c>
      <c r="F35" s="25" t="n">
        <f aca="false">F28-F34</f>
        <v>83.985</v>
      </c>
      <c r="G35" s="25" t="n">
        <f aca="false">G28-G34</f>
        <v>112.122</v>
      </c>
      <c r="H35" s="25" t="n">
        <f aca="false">H28-H34</f>
        <v>129.023</v>
      </c>
      <c r="I35" s="25" t="n">
        <f aca="false">I28-I34</f>
        <v>147.991853078</v>
      </c>
      <c r="J35" s="25" t="n">
        <f aca="false">J28-J34</f>
        <v>165.88250261252</v>
      </c>
      <c r="K35" s="25" t="n">
        <f aca="false">K28-K34</f>
        <v>184.7477285291</v>
      </c>
      <c r="L35" s="25" t="n">
        <f aca="false">L28-L34</f>
        <v>203.912306422475</v>
      </c>
      <c r="M35" s="25" t="n">
        <f aca="false">M28-M34</f>
        <v>223.896801038496</v>
      </c>
      <c r="N35" s="25" t="n">
        <f aca="false">N28-N34</f>
        <v>244.016675604682</v>
      </c>
      <c r="O35" s="25" t="n">
        <f aca="false">O28-O34</f>
        <v>263.88148468037</v>
      </c>
      <c r="P35" s="25" t="n">
        <f aca="false">P28-P34</f>
        <v>282.015798281789</v>
      </c>
      <c r="Q35" s="25" t="n">
        <f aca="false">Q28-Q34</f>
        <v>298.421459696447</v>
      </c>
      <c r="R35" s="25" t="n">
        <f aca="false">R28-R34</f>
        <v>312.611375250822</v>
      </c>
    </row>
    <row r="36" customFormat="false" ht="13.8" hidden="false" customHeight="false" outlineLevel="0" collapsed="false"/>
    <row r="37" customFormat="false" ht="13.8" hidden="false" customHeight="false" outlineLevel="0" collapsed="false">
      <c r="A37" s="3" t="s">
        <v>22</v>
      </c>
      <c r="D37" s="4" t="n">
        <f aca="false">Data_Input!C11</f>
        <v>14.701</v>
      </c>
      <c r="E37" s="4" t="n">
        <f aca="false">Data_Input!D11</f>
        <v>11.356</v>
      </c>
      <c r="F37" s="4" t="n">
        <f aca="false">Data_Input!E11</f>
        <v>11.922</v>
      </c>
      <c r="G37" s="4" t="n">
        <f aca="false">Data_Input!F11</f>
        <v>19.697</v>
      </c>
      <c r="H37" s="4" t="n">
        <f aca="false">Data_Input!G11</f>
        <v>26.656</v>
      </c>
      <c r="I37" s="22" t="n">
        <f aca="false">MAX(I35-I109,0)*I14</f>
        <v>25.15861502326</v>
      </c>
      <c r="J37" s="22" t="n">
        <f aca="false">MAX(J35-J109,0)*J14</f>
        <v>28.2000254441284</v>
      </c>
      <c r="K37" s="22" t="n">
        <f aca="false">MAX(K35-K109,0)*K14</f>
        <v>31.407113849947</v>
      </c>
      <c r="L37" s="22" t="n">
        <f aca="false">MAX(L35-L109,0)*L14</f>
        <v>34.6650920918208</v>
      </c>
      <c r="M37" s="22" t="n">
        <f aca="false">MAX(M35-M109,0)*M14</f>
        <v>38.0624561765443</v>
      </c>
      <c r="N37" s="22" t="n">
        <f aca="false">MAX(N35-N109,0)*N14</f>
        <v>41.4828348527959</v>
      </c>
      <c r="O37" s="22" t="n">
        <f aca="false">MAX(O35-O109,0)*O14</f>
        <v>44.859852395663</v>
      </c>
      <c r="P37" s="22" t="n">
        <f aca="false">MAX(P35-P109,0)*P14</f>
        <v>47.9426857079041</v>
      </c>
      <c r="Q37" s="22" t="n">
        <f aca="false">MAX(Q35-Q109,0)*Q14</f>
        <v>50.7316481483959</v>
      </c>
      <c r="R37" s="22" t="n">
        <f aca="false">MAX(R35-R109,0)*R14</f>
        <v>53.1439337926397</v>
      </c>
    </row>
    <row r="38" customFormat="false" ht="13.8" hidden="false" customHeight="false" outlineLevel="0" collapsed="false">
      <c r="A38" s="2" t="s">
        <v>101</v>
      </c>
      <c r="D38" s="27" t="n">
        <f aca="false">D35-D37</f>
        <v>63.667</v>
      </c>
      <c r="E38" s="27" t="n">
        <f aca="false">E35-E37</f>
        <v>63.129</v>
      </c>
      <c r="F38" s="27" t="n">
        <f aca="false">F35-F37</f>
        <v>72.063</v>
      </c>
      <c r="G38" s="27" t="n">
        <f aca="false">G35-G37</f>
        <v>92.425</v>
      </c>
      <c r="H38" s="27" t="n">
        <f aca="false">H35-H37</f>
        <v>102.367</v>
      </c>
      <c r="I38" s="27" t="n">
        <f aca="false">I35-I37</f>
        <v>122.83323805474</v>
      </c>
      <c r="J38" s="27" t="n">
        <f aca="false">J35-J37</f>
        <v>137.682477168392</v>
      </c>
      <c r="K38" s="27" t="n">
        <f aca="false">K35-K37</f>
        <v>153.340614679153</v>
      </c>
      <c r="L38" s="27" t="n">
        <f aca="false">L35-L37</f>
        <v>169.247214330654</v>
      </c>
      <c r="M38" s="27" t="n">
        <f aca="false">M35-M37</f>
        <v>185.834344861951</v>
      </c>
      <c r="N38" s="27" t="n">
        <f aca="false">N35-N37</f>
        <v>202.533840751886</v>
      </c>
      <c r="O38" s="27" t="n">
        <f aca="false">O35-O37</f>
        <v>219.021632284707</v>
      </c>
      <c r="P38" s="27" t="n">
        <f aca="false">P35-P37</f>
        <v>234.073112573885</v>
      </c>
      <c r="Q38" s="27" t="n">
        <f aca="false">Q35-Q37</f>
        <v>247.689811548051</v>
      </c>
      <c r="R38" s="27" t="n">
        <f aca="false">R35-R37</f>
        <v>259.467441458182</v>
      </c>
    </row>
    <row r="39" customFormat="false" ht="13.8" hidden="false" customHeight="false" outlineLevel="0" collapsed="false"/>
    <row r="40" customFormat="false" ht="13.8" hidden="false" customHeight="false" outlineLevel="0" collapsed="false"/>
    <row r="41" customFormat="false" ht="16.15" hidden="false" customHeight="false" outlineLevel="0" collapsed="false">
      <c r="A41" s="15" t="s">
        <v>102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customFormat="false" ht="13.8" hidden="false" customHeight="false" outlineLevel="0" collapsed="false"/>
    <row r="43" customFormat="false" ht="13.8" hidden="false" customHeight="false" outlineLevel="0" collapsed="false">
      <c r="A43" s="2" t="s">
        <v>103</v>
      </c>
    </row>
    <row r="44" customFormat="false" ht="13.8" hidden="false" customHeight="false" outlineLevel="0" collapsed="false">
      <c r="A44" s="3" t="s">
        <v>25</v>
      </c>
      <c r="D44" s="4" t="n">
        <f aca="false">Data_Input!C13</f>
        <v>169.198</v>
      </c>
      <c r="E44" s="4" t="n">
        <f aca="false">Data_Input!D13</f>
        <v>144.254</v>
      </c>
      <c r="F44" s="4" t="n">
        <f aca="false">Data_Input!E13</f>
        <v>141.924</v>
      </c>
      <c r="G44" s="4" t="n">
        <f aca="false">Data_Input!F13</f>
        <v>133.639</v>
      </c>
      <c r="H44" s="4" t="n">
        <f aca="false">Data_Input!G13</f>
        <v>195.53</v>
      </c>
      <c r="I44" s="22" t="n">
        <f aca="false">I82</f>
        <v>178.274941707343</v>
      </c>
      <c r="J44" s="22" t="n">
        <f aca="false">J82</f>
        <v>179.907926689047</v>
      </c>
      <c r="K44" s="22" t="n">
        <f aca="false">K82</f>
        <v>202.161665438825</v>
      </c>
      <c r="L44" s="22" t="n">
        <f aca="false">L82</f>
        <v>249.848130456655</v>
      </c>
      <c r="M44" s="22" t="n">
        <f aca="false">M82</f>
        <v>322.889273294351</v>
      </c>
      <c r="N44" s="22" t="n">
        <f aca="false">N82</f>
        <v>420.665290289332</v>
      </c>
      <c r="O44" s="22" t="n">
        <f aca="false">O82</f>
        <v>542.260924954249</v>
      </c>
      <c r="P44" s="22" t="n">
        <f aca="false">P82</f>
        <v>682.568271940583</v>
      </c>
      <c r="Q44" s="22" t="n">
        <f aca="false">Q82</f>
        <v>839.712138611575</v>
      </c>
      <c r="R44" s="22" t="n">
        <f aca="false">R82</f>
        <v>1010.79134029571</v>
      </c>
    </row>
    <row r="45" customFormat="false" ht="13.8" hidden="false" customHeight="false" outlineLevel="0" collapsed="false">
      <c r="A45" s="3" t="s">
        <v>27</v>
      </c>
      <c r="D45" s="4" t="n">
        <f aca="false">Data_Input!C14</f>
        <v>39.304</v>
      </c>
      <c r="E45" s="4" t="n">
        <f aca="false">Data_Input!D14</f>
        <v>40.258</v>
      </c>
      <c r="F45" s="4" t="n">
        <f aca="false">Data_Input!E14</f>
        <v>47.964</v>
      </c>
      <c r="G45" s="4" t="n">
        <f aca="false">Data_Input!F14</f>
        <v>52.34</v>
      </c>
      <c r="H45" s="4" t="n">
        <f aca="false">Data_Input!G14</f>
        <v>62.886</v>
      </c>
      <c r="I45" s="22" t="n">
        <f aca="false">I15/I21*I26</f>
        <v>69.8616401095891</v>
      </c>
      <c r="J45" s="22" t="n">
        <f aca="false">J15/J21*J26</f>
        <v>78.2450369227397</v>
      </c>
      <c r="K45" s="22" t="n">
        <f aca="false">K15/K21*K26</f>
        <v>86.8519909842411</v>
      </c>
      <c r="L45" s="22" t="n">
        <f aca="false">L15/L21*L26</f>
        <v>95.5371900826653</v>
      </c>
      <c r="M45" s="22" t="n">
        <f aca="false">M15/M21*M26</f>
        <v>104.135537190105</v>
      </c>
      <c r="N45" s="22" t="n">
        <f aca="false">N15/N21*N26</f>
        <v>112.466380165314</v>
      </c>
      <c r="O45" s="22" t="n">
        <f aca="false">O15/O21*O26</f>
        <v>120.339026776885</v>
      </c>
      <c r="P45" s="22" t="n">
        <f aca="false">P15/P21*P26</f>
        <v>127.559368383499</v>
      </c>
      <c r="Q45" s="22" t="n">
        <f aca="false">Q15/Q21*Q26</f>
        <v>133.937336802674</v>
      </c>
      <c r="R45" s="22" t="n">
        <f aca="false">R15/R21*R26</f>
        <v>139.696642285189</v>
      </c>
    </row>
    <row r="46" customFormat="false" ht="13.8" hidden="false" customHeight="false" outlineLevel="0" collapsed="false">
      <c r="A46" s="3" t="s">
        <v>29</v>
      </c>
      <c r="D46" s="4" t="n">
        <f aca="false">Data_Input!C15</f>
        <v>1.17</v>
      </c>
      <c r="E46" s="4" t="n">
        <f aca="false">Data_Input!D15</f>
        <v>2.67</v>
      </c>
      <c r="F46" s="4" t="n">
        <f aca="false">Data_Input!E15</f>
        <v>0</v>
      </c>
      <c r="G46" s="4" t="n">
        <f aca="false">Data_Input!F15</f>
        <v>0</v>
      </c>
      <c r="H46" s="4" t="n">
        <f aca="false">Data_Input!G15</f>
        <v>0</v>
      </c>
      <c r="I46" s="22" t="n">
        <f aca="false">I16/I21*I27</f>
        <v>0</v>
      </c>
      <c r="J46" s="22" t="n">
        <f aca="false">J16/J21*J27</f>
        <v>0</v>
      </c>
      <c r="K46" s="22" t="n">
        <f aca="false">K16/K21*K27</f>
        <v>0</v>
      </c>
      <c r="L46" s="22" t="n">
        <f aca="false">L16/L21*L27</f>
        <v>0</v>
      </c>
      <c r="M46" s="22" t="n">
        <f aca="false">M16/M21*M27</f>
        <v>0</v>
      </c>
      <c r="N46" s="22" t="n">
        <f aca="false">N16/N21*N27</f>
        <v>0</v>
      </c>
      <c r="O46" s="22" t="n">
        <f aca="false">O16/O21*O27</f>
        <v>0</v>
      </c>
      <c r="P46" s="22" t="n">
        <f aca="false">P16/P21*P27</f>
        <v>0</v>
      </c>
      <c r="Q46" s="22" t="n">
        <f aca="false">Q16/Q21*Q27</f>
        <v>0</v>
      </c>
      <c r="R46" s="22" t="n">
        <f aca="false">R16/R21*R27</f>
        <v>0</v>
      </c>
    </row>
    <row r="47" customFormat="false" ht="13.8" hidden="false" customHeight="false" outlineLevel="0" collapsed="false">
      <c r="A47" s="3" t="s">
        <v>104</v>
      </c>
      <c r="D47" s="4" t="n">
        <f aca="false">Data_Input!C16</f>
        <v>149.596</v>
      </c>
      <c r="E47" s="4" t="n">
        <f aca="false">Data_Input!D16</f>
        <v>178.082</v>
      </c>
      <c r="F47" s="4" t="n">
        <f aca="false">Data_Input!E16</f>
        <v>212.504</v>
      </c>
      <c r="G47" s="4" t="n">
        <f aca="false">Data_Input!F16</f>
        <v>264.277</v>
      </c>
      <c r="H47" s="4" t="n">
        <f aca="false">Data_Input!G16</f>
        <v>336.865</v>
      </c>
      <c r="I47" s="22" t="n">
        <f aca="false">I99</f>
        <v>409.968775</v>
      </c>
      <c r="J47" s="22" t="n">
        <f aca="false">J99</f>
        <v>483.320804625</v>
      </c>
      <c r="K47" s="22" t="n">
        <f aca="false">K99</f>
        <v>551.904952324375</v>
      </c>
      <c r="L47" s="22" t="n">
        <f aca="false">L99</f>
        <v>611.031130423291</v>
      </c>
      <c r="M47" s="22" t="n">
        <f aca="false">M99</f>
        <v>661.314106945777</v>
      </c>
      <c r="N47" s="22" t="n">
        <f aca="false">N99</f>
        <v>703.328689994301</v>
      </c>
      <c r="O47" s="22" t="n">
        <f aca="false">O99</f>
        <v>737.612325144672</v>
      </c>
      <c r="P47" s="22" t="n">
        <f aca="false">P99</f>
        <v>767.667524010268</v>
      </c>
      <c r="Q47" s="22" t="n">
        <f aca="false">Q99</f>
        <v>793.769134949601</v>
      </c>
      <c r="R47" s="22" t="n">
        <f aca="false">R99</f>
        <v>817.174141177876</v>
      </c>
    </row>
    <row r="48" customFormat="false" ht="13.8" hidden="false" customHeight="false" outlineLevel="0" collapsed="false">
      <c r="A48" s="2" t="s">
        <v>105</v>
      </c>
      <c r="D48" s="26" t="n">
        <f aca="false">SUM(D44:D47)</f>
        <v>359.268</v>
      </c>
      <c r="E48" s="26" t="n">
        <f aca="false">SUM(E44:E47)</f>
        <v>365.264</v>
      </c>
      <c r="F48" s="26" t="n">
        <f aca="false">SUM(F44:F47)</f>
        <v>402.392</v>
      </c>
      <c r="G48" s="26" t="n">
        <f aca="false">SUM(G44:G47)</f>
        <v>450.256</v>
      </c>
      <c r="H48" s="26" t="n">
        <f aca="false">SUM(H44:H47)</f>
        <v>595.281</v>
      </c>
      <c r="I48" s="26" t="n">
        <f aca="false">SUM(I44:I47)</f>
        <v>658.105356816932</v>
      </c>
      <c r="J48" s="26" t="n">
        <f aca="false">SUM(J44:J47)</f>
        <v>741.473768236786</v>
      </c>
      <c r="K48" s="26" t="n">
        <f aca="false">SUM(K44:K47)</f>
        <v>840.918608747441</v>
      </c>
      <c r="L48" s="26" t="n">
        <f aca="false">SUM(L44:L47)</f>
        <v>956.416450962611</v>
      </c>
      <c r="M48" s="26" t="n">
        <f aca="false">SUM(M44:M47)</f>
        <v>1088.33891743023</v>
      </c>
      <c r="N48" s="26" t="n">
        <f aca="false">SUM(N44:N47)</f>
        <v>1236.46036044895</v>
      </c>
      <c r="O48" s="26" t="n">
        <f aca="false">SUM(O44:O47)</f>
        <v>1400.21227687581</v>
      </c>
      <c r="P48" s="26" t="n">
        <f aca="false">SUM(P44:P47)</f>
        <v>1577.79516433435</v>
      </c>
      <c r="Q48" s="26" t="n">
        <f aca="false">SUM(Q44:Q47)</f>
        <v>1767.41861036385</v>
      </c>
      <c r="R48" s="26" t="n">
        <f aca="false">SUM(R44:R47)</f>
        <v>1967.66212375878</v>
      </c>
    </row>
    <row r="49" customFormat="false" ht="13.8" hidden="false" customHeight="false" outlineLevel="0" collapsed="false"/>
    <row r="50" customFormat="false" ht="13.8" hidden="false" customHeight="false" outlineLevel="0" collapsed="false">
      <c r="A50" s="2" t="s">
        <v>106</v>
      </c>
    </row>
    <row r="51" customFormat="false" ht="13.8" hidden="false" customHeight="false" outlineLevel="0" collapsed="false">
      <c r="A51" s="3" t="s">
        <v>33</v>
      </c>
      <c r="D51" s="4" t="n">
        <f aca="false">Data_Input!C17</f>
        <v>79.125</v>
      </c>
      <c r="E51" s="4" t="n">
        <f aca="false">Data_Input!D17</f>
        <v>79.441</v>
      </c>
      <c r="F51" s="4" t="n">
        <f aca="false">Data_Input!E17</f>
        <v>91.892</v>
      </c>
      <c r="G51" s="4" t="n">
        <f aca="false">Data_Input!F17</f>
        <v>99.711</v>
      </c>
      <c r="H51" s="4" t="n">
        <f aca="false">Data_Input!G17</f>
        <v>120.725</v>
      </c>
      <c r="I51" s="22" t="n">
        <f aca="false">I17/I21*I27</f>
        <v>130.716118762192</v>
      </c>
      <c r="J51" s="22" t="n">
        <f aca="false">J17/J21*J27</f>
        <v>146.402053013655</v>
      </c>
      <c r="K51" s="22" t="n">
        <f aca="false">K17/K21*K27</f>
        <v>162.506278845157</v>
      </c>
      <c r="L51" s="22" t="n">
        <f aca="false">L17/L21*L27</f>
        <v>178.756906729673</v>
      </c>
      <c r="M51" s="22" t="n">
        <f aca="false">M17/M21*M27</f>
        <v>194.845028335343</v>
      </c>
      <c r="N51" s="22" t="n">
        <f aca="false">N17/N21*N27</f>
        <v>210.432630602171</v>
      </c>
      <c r="O51" s="22" t="n">
        <f aca="false">O17/O21*O27</f>
        <v>225.162914744323</v>
      </c>
      <c r="P51" s="22" t="n">
        <f aca="false">P17/P21*P27</f>
        <v>238.672689628982</v>
      </c>
      <c r="Q51" s="22" t="n">
        <f aca="false">Q17/Q21*Q27</f>
        <v>250.606324110431</v>
      </c>
      <c r="R51" s="22" t="n">
        <f aca="false">R17/R21*R27</f>
        <v>261.38239604718</v>
      </c>
    </row>
    <row r="52" customFormat="false" ht="13.8" hidden="false" customHeight="false" outlineLevel="0" collapsed="false">
      <c r="A52" s="3" t="s">
        <v>35</v>
      </c>
      <c r="D52" s="4" t="n">
        <f aca="false">Data_Input!C18</f>
        <v>28.508</v>
      </c>
      <c r="E52" s="4" t="n">
        <f aca="false">Data_Input!D18</f>
        <v>29.679</v>
      </c>
      <c r="F52" s="4" t="n">
        <f aca="false">Data_Input!E18</f>
        <v>27.121</v>
      </c>
      <c r="G52" s="4" t="n">
        <f aca="false">Data_Input!F18</f>
        <v>25.461</v>
      </c>
      <c r="H52" s="4" t="n">
        <f aca="false">Data_Input!G18</f>
        <v>59.291</v>
      </c>
      <c r="I52" s="22" t="n">
        <f aca="false">I104</f>
        <v>59.291</v>
      </c>
      <c r="J52" s="22" t="n">
        <f aca="false">J104</f>
        <v>59.291</v>
      </c>
      <c r="K52" s="22" t="n">
        <f aca="false">K104</f>
        <v>59.291</v>
      </c>
      <c r="L52" s="22" t="n">
        <f aca="false">L104</f>
        <v>59.291</v>
      </c>
      <c r="M52" s="22" t="n">
        <f aca="false">M104</f>
        <v>59.291</v>
      </c>
      <c r="N52" s="22" t="n">
        <f aca="false">N104</f>
        <v>59.291</v>
      </c>
      <c r="O52" s="22" t="n">
        <f aca="false">O104</f>
        <v>59.291</v>
      </c>
      <c r="P52" s="22" t="n">
        <f aca="false">P104</f>
        <v>59.291</v>
      </c>
      <c r="Q52" s="22" t="n">
        <f aca="false">Q104</f>
        <v>59.291</v>
      </c>
      <c r="R52" s="22" t="n">
        <f aca="false">R104</f>
        <v>59.291</v>
      </c>
    </row>
    <row r="53" customFormat="false" ht="13.8" hidden="false" customHeight="false" outlineLevel="0" collapsed="false">
      <c r="A53" s="2" t="s">
        <v>107</v>
      </c>
      <c r="D53" s="26" t="n">
        <f aca="false">D51+D52</f>
        <v>107.633</v>
      </c>
      <c r="E53" s="26" t="n">
        <f aca="false">E51+E52</f>
        <v>109.12</v>
      </c>
      <c r="F53" s="26" t="n">
        <f aca="false">F51+F52</f>
        <v>119.013</v>
      </c>
      <c r="G53" s="26" t="n">
        <f aca="false">G51+G52</f>
        <v>125.172</v>
      </c>
      <c r="H53" s="26" t="n">
        <f aca="false">H51+H52</f>
        <v>180.016</v>
      </c>
      <c r="I53" s="26" t="n">
        <f aca="false">I51+I52</f>
        <v>190.007118762192</v>
      </c>
      <c r="J53" s="26" t="n">
        <f aca="false">J51+J52</f>
        <v>205.693053013655</v>
      </c>
      <c r="K53" s="26" t="n">
        <f aca="false">K51+K52</f>
        <v>221.797278845157</v>
      </c>
      <c r="L53" s="26" t="n">
        <f aca="false">L51+L52</f>
        <v>238.047906729673</v>
      </c>
      <c r="M53" s="26" t="n">
        <f aca="false">M51+M52</f>
        <v>254.136028335343</v>
      </c>
      <c r="N53" s="26" t="n">
        <f aca="false">N51+N52</f>
        <v>269.723630602171</v>
      </c>
      <c r="O53" s="26" t="n">
        <f aca="false">O51+O52</f>
        <v>284.453914744323</v>
      </c>
      <c r="P53" s="26" t="n">
        <f aca="false">P51+P52</f>
        <v>297.963689628982</v>
      </c>
      <c r="Q53" s="26" t="n">
        <f aca="false">Q51+Q52</f>
        <v>309.897324110431</v>
      </c>
      <c r="R53" s="26" t="n">
        <f aca="false">R51+R52</f>
        <v>320.67339604718</v>
      </c>
    </row>
    <row r="54" customFormat="false" ht="13.8" hidden="false" customHeight="false" outlineLevel="0" collapsed="false">
      <c r="A54" s="2" t="s">
        <v>108</v>
      </c>
    </row>
    <row r="55" customFormat="false" ht="13.8" hidden="false" customHeight="false" outlineLevel="0" collapsed="false">
      <c r="A55" s="3" t="s">
        <v>37</v>
      </c>
      <c r="D55" s="4" t="n">
        <f aca="false">Data_Input!C19</f>
        <v>60.151</v>
      </c>
      <c r="E55" s="4" t="n">
        <f aca="false">Data_Input!D19</f>
        <v>60.581</v>
      </c>
      <c r="F55" s="4" t="n">
        <f aca="false">Data_Input!E19</f>
        <v>72.132</v>
      </c>
      <c r="G55" s="4" t="n">
        <f aca="false">Data_Input!F19</f>
        <v>80</v>
      </c>
      <c r="H55" s="4" t="n">
        <f aca="false">Data_Input!G19</f>
        <v>91.21</v>
      </c>
      <c r="I55" s="22" t="n">
        <f aca="false">H55+I20</f>
        <v>21.21</v>
      </c>
      <c r="J55" s="22" t="n">
        <f aca="false">I55+J20</f>
        <v>-48.79</v>
      </c>
      <c r="K55" s="22" t="n">
        <f aca="false">J55+K20</f>
        <v>-118.79</v>
      </c>
      <c r="L55" s="22" t="n">
        <f aca="false">K55+L20</f>
        <v>-188.79</v>
      </c>
      <c r="M55" s="22" t="n">
        <f aca="false">L55+M20</f>
        <v>-258.79</v>
      </c>
      <c r="N55" s="22" t="n">
        <f aca="false">M55+N20</f>
        <v>-328.79</v>
      </c>
      <c r="O55" s="22" t="n">
        <f aca="false">N55+O20</f>
        <v>-398.79</v>
      </c>
      <c r="P55" s="22" t="n">
        <f aca="false">O55+P20</f>
        <v>-468.79</v>
      </c>
      <c r="Q55" s="22" t="n">
        <f aca="false">P55+Q20</f>
        <v>-538.79</v>
      </c>
      <c r="R55" s="22" t="n">
        <f aca="false">Q55+R20</f>
        <v>-608.79</v>
      </c>
    </row>
    <row r="56" customFormat="false" ht="13.8" hidden="false" customHeight="false" outlineLevel="0" collapsed="false">
      <c r="A56" s="3" t="s">
        <v>39</v>
      </c>
      <c r="D56" s="4" t="n">
        <f aca="false">Data_Input!C20</f>
        <v>191.484</v>
      </c>
      <c r="E56" s="4" t="n">
        <f aca="false">Data_Input!D20</f>
        <v>195.563</v>
      </c>
      <c r="F56" s="4" t="n">
        <f aca="false">Data_Input!E20</f>
        <v>211.247</v>
      </c>
      <c r="G56" s="4" t="n">
        <f aca="false">Data_Input!F20</f>
        <v>245.084</v>
      </c>
      <c r="H56" s="4" t="n">
        <f aca="false">Data_Input!G20</f>
        <v>324.055</v>
      </c>
      <c r="I56" s="22" t="n">
        <f aca="false">H56+I38</f>
        <v>446.88823805474</v>
      </c>
      <c r="J56" s="22" t="n">
        <f aca="false">I56+J38</f>
        <v>584.570715223132</v>
      </c>
      <c r="K56" s="22" t="n">
        <f aca="false">J56+K38</f>
        <v>737.911329902285</v>
      </c>
      <c r="L56" s="22" t="n">
        <f aca="false">K56+L38</f>
        <v>907.158544232939</v>
      </c>
      <c r="M56" s="22" t="n">
        <f aca="false">L56+M38</f>
        <v>1092.99288909489</v>
      </c>
      <c r="N56" s="22" t="n">
        <f aca="false">M56+N38</f>
        <v>1295.52672984678</v>
      </c>
      <c r="O56" s="22" t="n">
        <f aca="false">N56+O38</f>
        <v>1514.54836213148</v>
      </c>
      <c r="P56" s="22" t="n">
        <f aca="false">O56+P38</f>
        <v>1748.62147470537</v>
      </c>
      <c r="Q56" s="22" t="n">
        <f aca="false">P56+Q38</f>
        <v>1996.31128625342</v>
      </c>
      <c r="R56" s="22" t="n">
        <f aca="false">Q56+R38</f>
        <v>2255.7787277116</v>
      </c>
    </row>
    <row r="57" customFormat="false" ht="13.8" hidden="false" customHeight="false" outlineLevel="0" collapsed="false">
      <c r="A57" s="2" t="s">
        <v>108</v>
      </c>
      <c r="D57" s="26" t="n">
        <f aca="false">D55+D56</f>
        <v>251.635</v>
      </c>
      <c r="E57" s="26" t="n">
        <f aca="false">E55+E56</f>
        <v>256.144</v>
      </c>
      <c r="F57" s="26" t="n">
        <f aca="false">F55+F56</f>
        <v>283.379</v>
      </c>
      <c r="G57" s="26" t="n">
        <f aca="false">G55+G56</f>
        <v>325.084</v>
      </c>
      <c r="H57" s="26" t="n">
        <f aca="false">H55+H56</f>
        <v>415.265</v>
      </c>
      <c r="I57" s="26" t="n">
        <f aca="false">I55+I56</f>
        <v>468.09823805474</v>
      </c>
      <c r="J57" s="26" t="n">
        <f aca="false">J55+J56</f>
        <v>535.780715223132</v>
      </c>
      <c r="K57" s="26" t="n">
        <f aca="false">K55+K56</f>
        <v>619.121329902285</v>
      </c>
      <c r="L57" s="26" t="n">
        <f aca="false">L55+L56</f>
        <v>718.368544232939</v>
      </c>
      <c r="M57" s="26" t="n">
        <f aca="false">M55+M56</f>
        <v>834.20288909489</v>
      </c>
      <c r="N57" s="26" t="n">
        <f aca="false">N55+N56</f>
        <v>966.736729846776</v>
      </c>
      <c r="O57" s="26" t="n">
        <f aca="false">O55+O56</f>
        <v>1115.75836213148</v>
      </c>
      <c r="P57" s="26" t="n">
        <f aca="false">P55+P56</f>
        <v>1279.83147470537</v>
      </c>
      <c r="Q57" s="26" t="n">
        <f aca="false">Q55+Q56</f>
        <v>1457.52128625342</v>
      </c>
      <c r="R57" s="26" t="n">
        <f aca="false">R55+R56</f>
        <v>1646.9887277116</v>
      </c>
    </row>
    <row r="58" customFormat="false" ht="13.8" hidden="false" customHeight="false" outlineLevel="0" collapsed="false">
      <c r="A58" s="2" t="s">
        <v>109</v>
      </c>
      <c r="D58" s="27" t="n">
        <f aca="false">D53+D57</f>
        <v>359.268</v>
      </c>
      <c r="E58" s="27" t="n">
        <f aca="false">E53+E57</f>
        <v>365.264</v>
      </c>
      <c r="F58" s="27" t="n">
        <f aca="false">F53+F57</f>
        <v>402.392</v>
      </c>
      <c r="G58" s="27" t="n">
        <f aca="false">G53+G57</f>
        <v>450.256</v>
      </c>
      <c r="H58" s="27" t="n">
        <f aca="false">H53+H57</f>
        <v>595.281</v>
      </c>
      <c r="I58" s="27" t="n">
        <f aca="false">I53+I57</f>
        <v>658.105356816932</v>
      </c>
      <c r="J58" s="27" t="n">
        <f aca="false">J53+J57</f>
        <v>741.473768236786</v>
      </c>
      <c r="K58" s="27" t="n">
        <f aca="false">K53+K57</f>
        <v>840.918608747441</v>
      </c>
      <c r="L58" s="27" t="n">
        <f aca="false">L53+L57</f>
        <v>956.416450962611</v>
      </c>
      <c r="M58" s="27" t="n">
        <f aca="false">M53+M57</f>
        <v>1088.33891743023</v>
      </c>
      <c r="N58" s="27" t="n">
        <f aca="false">N53+N57</f>
        <v>1236.46036044895</v>
      </c>
      <c r="O58" s="27" t="n">
        <f aca="false">O53+O57</f>
        <v>1400.21227687581</v>
      </c>
      <c r="P58" s="27" t="n">
        <f aca="false">P53+P57</f>
        <v>1577.79516433435</v>
      </c>
      <c r="Q58" s="27" t="n">
        <f aca="false">Q53+Q57</f>
        <v>1767.41861036385</v>
      </c>
      <c r="R58" s="27" t="n">
        <f aca="false">R53+R57</f>
        <v>1967.66212375878</v>
      </c>
    </row>
    <row r="59" customFormat="false" ht="13.8" hidden="false" customHeight="false" outlineLevel="0" collapsed="false"/>
    <row r="60" customFormat="false" ht="13.8" hidden="false" customHeight="false" outlineLevel="0" collapsed="false">
      <c r="A60" s="11" t="s">
        <v>110</v>
      </c>
      <c r="D60" s="28" t="n">
        <f aca="false">D58-D48</f>
        <v>0</v>
      </c>
      <c r="E60" s="28" t="n">
        <f aca="false">E58-E48</f>
        <v>0</v>
      </c>
      <c r="F60" s="28" t="n">
        <f aca="false">F58-F48</f>
        <v>0</v>
      </c>
      <c r="G60" s="28" t="n">
        <f aca="false">G58-G48</f>
        <v>0</v>
      </c>
      <c r="H60" s="28" t="n">
        <f aca="false">H58-H48</f>
        <v>0</v>
      </c>
      <c r="I60" s="28" t="n">
        <f aca="false">I58-I48</f>
        <v>0</v>
      </c>
      <c r="J60" s="28" t="n">
        <f aca="false">J58-J48</f>
        <v>0</v>
      </c>
      <c r="K60" s="28" t="n">
        <f aca="false">K58-K48</f>
        <v>0</v>
      </c>
      <c r="L60" s="28" t="n">
        <f aca="false">L58-L48</f>
        <v>0</v>
      </c>
      <c r="M60" s="28" t="n">
        <f aca="false">M58-M48</f>
        <v>0</v>
      </c>
      <c r="N60" s="28" t="n">
        <f aca="false">N58-N48</f>
        <v>0</v>
      </c>
      <c r="O60" s="28" t="n">
        <f aca="false">O58-O48</f>
        <v>0</v>
      </c>
      <c r="P60" s="28" t="n">
        <f aca="false">P58-P48</f>
        <v>0</v>
      </c>
      <c r="Q60" s="28" t="n">
        <f aca="false">Q58-Q48</f>
        <v>0</v>
      </c>
      <c r="R60" s="28" t="n">
        <f aca="false">R58-R48</f>
        <v>0</v>
      </c>
    </row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6.15" hidden="false" customHeight="false" outlineLevel="0" collapsed="false">
      <c r="A63" s="15" t="s">
        <v>111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</row>
    <row r="64" customFormat="false" ht="13.8" hidden="false" customHeight="false" outlineLevel="0" collapsed="false"/>
    <row r="65" customFormat="false" ht="13.8" hidden="false" customHeight="false" outlineLevel="0" collapsed="false">
      <c r="A65" s="2" t="s">
        <v>112</v>
      </c>
    </row>
    <row r="66" customFormat="false" ht="13.8" hidden="false" customHeight="false" outlineLevel="0" collapsed="false">
      <c r="A66" s="3" t="s">
        <v>101</v>
      </c>
      <c r="E66" s="22" t="n">
        <f aca="false">E38</f>
        <v>63.129</v>
      </c>
      <c r="F66" s="22" t="n">
        <f aca="false">F38</f>
        <v>72.063</v>
      </c>
      <c r="G66" s="22" t="n">
        <f aca="false">G38</f>
        <v>92.425</v>
      </c>
      <c r="H66" s="22" t="n">
        <f aca="false">H38</f>
        <v>102.367</v>
      </c>
      <c r="I66" s="22" t="n">
        <f aca="false">I38</f>
        <v>122.83323805474</v>
      </c>
      <c r="J66" s="22" t="n">
        <f aca="false">J38</f>
        <v>137.682477168392</v>
      </c>
      <c r="K66" s="22" t="n">
        <f aca="false">K38</f>
        <v>153.340614679153</v>
      </c>
      <c r="L66" s="22" t="n">
        <f aca="false">L38</f>
        <v>169.247214330654</v>
      </c>
      <c r="M66" s="22" t="n">
        <f aca="false">M38</f>
        <v>185.834344861951</v>
      </c>
      <c r="N66" s="22" t="n">
        <f aca="false">N38</f>
        <v>202.533840751886</v>
      </c>
      <c r="O66" s="22" t="n">
        <f aca="false">O38</f>
        <v>219.021632284707</v>
      </c>
      <c r="P66" s="22" t="n">
        <f aca="false">P38</f>
        <v>234.073112573885</v>
      </c>
      <c r="Q66" s="22" t="n">
        <f aca="false">Q38</f>
        <v>247.689811548051</v>
      </c>
      <c r="R66" s="22" t="n">
        <f aca="false">R38</f>
        <v>259.467441458182</v>
      </c>
    </row>
    <row r="67" customFormat="false" ht="13.8" hidden="false" customHeight="false" outlineLevel="0" collapsed="false">
      <c r="A67" s="3" t="s">
        <v>113</v>
      </c>
      <c r="E67" s="22" t="n">
        <f aca="false">E32</f>
        <v>15.928</v>
      </c>
      <c r="F67" s="22" t="n">
        <f aca="false">F32</f>
        <v>11.946</v>
      </c>
      <c r="G67" s="22" t="n">
        <f aca="false">G32</f>
        <v>15.311</v>
      </c>
      <c r="H67" s="22" t="n">
        <f aca="false">H32</f>
        <v>21.136</v>
      </c>
      <c r="I67" s="22" t="n">
        <f aca="false">I32</f>
        <v>21.896225</v>
      </c>
      <c r="J67" s="22" t="n">
        <f aca="false">J32</f>
        <v>26.647970375</v>
      </c>
      <c r="K67" s="22" t="n">
        <f aca="false">K32</f>
        <v>31.415852300625</v>
      </c>
      <c r="L67" s="22" t="n">
        <f aca="false">L32</f>
        <v>35.8738219010844</v>
      </c>
      <c r="M67" s="22" t="n">
        <f aca="false">M32</f>
        <v>39.7170234775139</v>
      </c>
      <c r="N67" s="22" t="n">
        <f aca="false">N32</f>
        <v>42.9854169514755</v>
      </c>
      <c r="O67" s="22" t="n">
        <f aca="false">O32</f>
        <v>45.7163648496296</v>
      </c>
      <c r="P67" s="22" t="n">
        <f aca="false">P32</f>
        <v>47.9448011344037</v>
      </c>
      <c r="Q67" s="22" t="n">
        <f aca="false">Q32</f>
        <v>49.8983890606674</v>
      </c>
      <c r="R67" s="22" t="n">
        <f aca="false">R32</f>
        <v>51.594993771724</v>
      </c>
    </row>
    <row r="68" customFormat="false" ht="13.8" hidden="false" customHeight="false" outlineLevel="0" collapsed="false">
      <c r="A68" s="3" t="s">
        <v>114</v>
      </c>
      <c r="E68" s="22" t="n">
        <f aca="false">E93</f>
        <v>2.138</v>
      </c>
      <c r="F68" s="22" t="n">
        <f aca="false">F93</f>
        <v>-7.415</v>
      </c>
      <c r="G68" s="22" t="n">
        <f aca="false">G93</f>
        <v>-3.443</v>
      </c>
      <c r="H68" s="22" t="n">
        <f aca="false">H93</f>
        <v>-10.468</v>
      </c>
      <c r="I68" s="22" t="n">
        <f aca="false">I93</f>
        <v>-3.01547865260273</v>
      </c>
      <c r="J68" s="22" t="n">
        <f aca="false">J93</f>
        <v>-7.30253743831236</v>
      </c>
      <c r="K68" s="22" t="n">
        <f aca="false">K93</f>
        <v>-7.49727177000065</v>
      </c>
      <c r="L68" s="22" t="n">
        <f aca="false">L93</f>
        <v>-7.5654287860916</v>
      </c>
      <c r="M68" s="22" t="n">
        <f aca="false">M93</f>
        <v>-7.48977449823065</v>
      </c>
      <c r="N68" s="22" t="n">
        <f aca="false">N93</f>
        <v>-7.25675929161906</v>
      </c>
      <c r="O68" s="22" t="n">
        <f aca="false">O93</f>
        <v>-6.85763753057998</v>
      </c>
      <c r="P68" s="22" t="n">
        <f aca="false">P93</f>
        <v>-6.28943327804628</v>
      </c>
      <c r="Q68" s="22" t="n">
        <f aca="false">Q93</f>
        <v>-5.55566606227413</v>
      </c>
      <c r="R68" s="22" t="n">
        <f aca="false">R93</f>
        <v>-5.01676645423356</v>
      </c>
    </row>
    <row r="69" customFormat="false" ht="13.8" hidden="false" customHeight="false" outlineLevel="0" collapsed="false">
      <c r="A69" s="2" t="s">
        <v>115</v>
      </c>
      <c r="E69" s="26" t="n">
        <f aca="false">E66+E67-E68</f>
        <v>76.919</v>
      </c>
      <c r="F69" s="26" t="n">
        <f aca="false">F66+F67-F68</f>
        <v>91.424</v>
      </c>
      <c r="G69" s="26" t="n">
        <f aca="false">G66+G67-G68</f>
        <v>111.179</v>
      </c>
      <c r="H69" s="26" t="n">
        <f aca="false">H66+H67-H68</f>
        <v>133.971</v>
      </c>
      <c r="I69" s="26" t="n">
        <f aca="false">I66+I67-I68</f>
        <v>147.744941707343</v>
      </c>
      <c r="J69" s="26" t="n">
        <f aca="false">J66+J67-J68</f>
        <v>171.632984981704</v>
      </c>
      <c r="K69" s="26" t="n">
        <f aca="false">K66+K67-K68</f>
        <v>192.253738749779</v>
      </c>
      <c r="L69" s="26" t="n">
        <f aca="false">L66+L67-L68</f>
        <v>212.68646501783</v>
      </c>
      <c r="M69" s="26" t="n">
        <f aca="false">M66+M67-M68</f>
        <v>233.041142837696</v>
      </c>
      <c r="N69" s="26" t="n">
        <f aca="false">N66+N67-N68</f>
        <v>252.77601699498</v>
      </c>
      <c r="O69" s="26" t="n">
        <f aca="false">O66+O67-O68</f>
        <v>271.595634664917</v>
      </c>
      <c r="P69" s="26" t="n">
        <f aca="false">P66+P67-P68</f>
        <v>288.307346986334</v>
      </c>
      <c r="Q69" s="26" t="n">
        <f aca="false">Q66+Q67-Q68</f>
        <v>303.143866670992</v>
      </c>
      <c r="R69" s="26" t="n">
        <f aca="false">R66+R67-R68</f>
        <v>316.07920168414</v>
      </c>
    </row>
    <row r="70" customFormat="false" ht="13.8" hidden="false" customHeight="false" outlineLevel="0" collapsed="false"/>
    <row r="71" customFormat="false" ht="13.8" hidden="false" customHeight="false" outlineLevel="0" collapsed="false">
      <c r="A71" s="2" t="s">
        <v>116</v>
      </c>
    </row>
    <row r="72" customFormat="false" ht="13.8" hidden="false" customHeight="false" outlineLevel="0" collapsed="false">
      <c r="A72" s="3" t="s">
        <v>117</v>
      </c>
      <c r="E72" s="22" t="n">
        <f aca="false">E97</f>
        <v>31.485</v>
      </c>
      <c r="F72" s="22" t="n">
        <f aca="false">F97</f>
        <v>32.251</v>
      </c>
      <c r="G72" s="22" t="n">
        <f aca="false">G97</f>
        <v>52.535</v>
      </c>
      <c r="H72" s="22" t="n">
        <f aca="false">H97</f>
        <v>91.447</v>
      </c>
      <c r="I72" s="22" t="n">
        <f aca="false">I18</f>
        <v>95</v>
      </c>
      <c r="J72" s="22" t="n">
        <f aca="false">J18</f>
        <v>100</v>
      </c>
      <c r="K72" s="22" t="n">
        <f aca="false">K18</f>
        <v>100</v>
      </c>
      <c r="L72" s="22" t="n">
        <f aca="false">L18</f>
        <v>95</v>
      </c>
      <c r="M72" s="22" t="n">
        <f aca="false">M18</f>
        <v>90</v>
      </c>
      <c r="N72" s="22" t="n">
        <f aca="false">N18</f>
        <v>85</v>
      </c>
      <c r="O72" s="22" t="n">
        <f aca="false">O18</f>
        <v>80</v>
      </c>
      <c r="P72" s="22" t="n">
        <f aca="false">P18</f>
        <v>78</v>
      </c>
      <c r="Q72" s="22" t="n">
        <f aca="false">Q18</f>
        <v>76</v>
      </c>
      <c r="R72" s="22" t="n">
        <f aca="false">R18</f>
        <v>75</v>
      </c>
    </row>
    <row r="73" customFormat="false" ht="13.8" hidden="false" customHeight="false" outlineLevel="0" collapsed="false">
      <c r="A73" s="2" t="s">
        <v>118</v>
      </c>
      <c r="E73" s="26" t="n">
        <f aca="false">E72</f>
        <v>31.485</v>
      </c>
      <c r="F73" s="26" t="n">
        <f aca="false">F72</f>
        <v>32.251</v>
      </c>
      <c r="G73" s="26" t="n">
        <f aca="false">G72</f>
        <v>52.535</v>
      </c>
      <c r="H73" s="26" t="n">
        <f aca="false">H72</f>
        <v>91.447</v>
      </c>
      <c r="I73" s="26" t="n">
        <f aca="false">I72</f>
        <v>95</v>
      </c>
      <c r="J73" s="26" t="n">
        <f aca="false">J72</f>
        <v>100</v>
      </c>
      <c r="K73" s="26" t="n">
        <f aca="false">K72</f>
        <v>100</v>
      </c>
      <c r="L73" s="26" t="n">
        <f aca="false">L72</f>
        <v>95</v>
      </c>
      <c r="M73" s="26" t="n">
        <f aca="false">M72</f>
        <v>90</v>
      </c>
      <c r="N73" s="26" t="n">
        <f aca="false">N72</f>
        <v>85</v>
      </c>
      <c r="O73" s="26" t="n">
        <f aca="false">O72</f>
        <v>80</v>
      </c>
      <c r="P73" s="26" t="n">
        <f aca="false">P72</f>
        <v>78</v>
      </c>
      <c r="Q73" s="26" t="n">
        <f aca="false">Q72</f>
        <v>76</v>
      </c>
      <c r="R73" s="26" t="n">
        <f aca="false">R72</f>
        <v>75</v>
      </c>
    </row>
    <row r="74" customFormat="false" ht="13.8" hidden="false" customHeight="false" outlineLevel="0" collapsed="false"/>
    <row r="75" customFormat="false" ht="13.8" hidden="false" customHeight="false" outlineLevel="0" collapsed="false">
      <c r="A75" s="2" t="s">
        <v>119</v>
      </c>
    </row>
    <row r="76" customFormat="false" ht="13.8" hidden="false" customHeight="false" outlineLevel="0" collapsed="false">
      <c r="A76" s="3" t="s">
        <v>120</v>
      </c>
      <c r="E76" s="22" t="n">
        <f aca="false">E103</f>
        <v>-1.196</v>
      </c>
      <c r="F76" s="22" t="n">
        <f aca="false">F103</f>
        <v>-0.76</v>
      </c>
      <c r="G76" s="22" t="n">
        <f aca="false">G103</f>
        <v>0.888</v>
      </c>
      <c r="H76" s="22" t="n">
        <f aca="false">H103</f>
        <v>32.137</v>
      </c>
      <c r="I76" s="22" t="n">
        <f aca="false">I19</f>
        <v>0</v>
      </c>
      <c r="J76" s="22" t="n">
        <f aca="false">J19</f>
        <v>0</v>
      </c>
      <c r="K76" s="22" t="n">
        <f aca="false">K19</f>
        <v>0</v>
      </c>
      <c r="L76" s="22" t="n">
        <f aca="false">L19</f>
        <v>0</v>
      </c>
      <c r="M76" s="22" t="n">
        <f aca="false">M19</f>
        <v>0</v>
      </c>
      <c r="N76" s="22" t="n">
        <f aca="false">N19</f>
        <v>0</v>
      </c>
      <c r="O76" s="22" t="n">
        <f aca="false">O19</f>
        <v>0</v>
      </c>
      <c r="P76" s="22" t="n">
        <f aca="false">P19</f>
        <v>0</v>
      </c>
      <c r="Q76" s="22" t="n">
        <f aca="false">Q19</f>
        <v>0</v>
      </c>
      <c r="R76" s="22" t="n">
        <f aca="false">R19</f>
        <v>0</v>
      </c>
    </row>
    <row r="77" customFormat="false" ht="13.8" hidden="false" customHeight="false" outlineLevel="0" collapsed="false">
      <c r="A77" s="3" t="s">
        <v>121</v>
      </c>
      <c r="E77" s="22" t="n">
        <f aca="false">Data_Input!D24</f>
        <v>-59.296</v>
      </c>
      <c r="F77" s="22" t="n">
        <f aca="false">Data_Input!E24</f>
        <v>-61.504</v>
      </c>
      <c r="G77" s="22" t="n">
        <f aca="false">Data_Input!F24</f>
        <v>-62.222</v>
      </c>
      <c r="H77" s="22" t="n">
        <f aca="false">Data_Input!G24</f>
        <v>-45.709</v>
      </c>
      <c r="I77" s="22" t="n">
        <f aca="false">I20</f>
        <v>-70</v>
      </c>
      <c r="J77" s="22" t="n">
        <f aca="false">J20</f>
        <v>-70</v>
      </c>
      <c r="K77" s="22" t="n">
        <f aca="false">K20</f>
        <v>-70</v>
      </c>
      <c r="L77" s="22" t="n">
        <f aca="false">L20</f>
        <v>-70</v>
      </c>
      <c r="M77" s="22" t="n">
        <f aca="false">M20</f>
        <v>-70</v>
      </c>
      <c r="N77" s="22" t="n">
        <f aca="false">N20</f>
        <v>-70</v>
      </c>
      <c r="O77" s="22" t="n">
        <f aca="false">O20</f>
        <v>-70</v>
      </c>
      <c r="P77" s="22" t="n">
        <f aca="false">P20</f>
        <v>-70</v>
      </c>
      <c r="Q77" s="22" t="n">
        <f aca="false">Q20</f>
        <v>-70</v>
      </c>
      <c r="R77" s="22" t="n">
        <f aca="false">R20</f>
        <v>-70</v>
      </c>
    </row>
    <row r="78" customFormat="false" ht="13.8" hidden="false" customHeight="false" outlineLevel="0" collapsed="false">
      <c r="A78" s="2" t="s">
        <v>122</v>
      </c>
      <c r="E78" s="26" t="n">
        <f aca="false">E76+E77</f>
        <v>-60.492</v>
      </c>
      <c r="F78" s="26" t="n">
        <f aca="false">F76+F77</f>
        <v>-62.264</v>
      </c>
      <c r="G78" s="26" t="n">
        <f aca="false">G76+G77</f>
        <v>-61.334</v>
      </c>
      <c r="H78" s="26" t="n">
        <f aca="false">H76+H77</f>
        <v>-13.572</v>
      </c>
      <c r="I78" s="26" t="n">
        <f aca="false">I76+I77</f>
        <v>-70</v>
      </c>
      <c r="J78" s="26" t="n">
        <f aca="false">J76+J77</f>
        <v>-70</v>
      </c>
      <c r="K78" s="26" t="n">
        <f aca="false">K76+K77</f>
        <v>-70</v>
      </c>
      <c r="L78" s="26" t="n">
        <f aca="false">L76+L77</f>
        <v>-70</v>
      </c>
      <c r="M78" s="26" t="n">
        <f aca="false">M76+M77</f>
        <v>-70</v>
      </c>
      <c r="N78" s="26" t="n">
        <f aca="false">N76+N77</f>
        <v>-70</v>
      </c>
      <c r="O78" s="26" t="n">
        <f aca="false">O76+O77</f>
        <v>-70</v>
      </c>
      <c r="P78" s="26" t="n">
        <f aca="false">P76+P77</f>
        <v>-70</v>
      </c>
      <c r="Q78" s="26" t="n">
        <f aca="false">Q76+Q77</f>
        <v>-70</v>
      </c>
      <c r="R78" s="26" t="n">
        <f aca="false">R76+R77</f>
        <v>-70</v>
      </c>
    </row>
    <row r="79" customFormat="false" ht="13.8" hidden="false" customHeight="false" outlineLevel="0" collapsed="false"/>
    <row r="80" customFormat="false" ht="13.8" hidden="false" customHeight="false" outlineLevel="0" collapsed="false">
      <c r="A80" s="3" t="s">
        <v>123</v>
      </c>
      <c r="E80" s="22" t="n">
        <f aca="false">E69-E73+E78</f>
        <v>-15.058</v>
      </c>
      <c r="F80" s="22" t="n">
        <f aca="false">F69-F73+F78</f>
        <v>-3.09099999999999</v>
      </c>
      <c r="G80" s="22" t="n">
        <f aca="false">G69-G73+G78</f>
        <v>-2.69000000000004</v>
      </c>
      <c r="H80" s="22" t="n">
        <f aca="false">H69-H73+H78</f>
        <v>28.952</v>
      </c>
      <c r="I80" s="22" t="n">
        <f aca="false">I69-I73+I78</f>
        <v>-17.2550582926573</v>
      </c>
      <c r="J80" s="22" t="n">
        <f aca="false">J69-J73+J78</f>
        <v>1.63298498170394</v>
      </c>
      <c r="K80" s="22" t="n">
        <f aca="false">K69-K73+K78</f>
        <v>22.2537387497786</v>
      </c>
      <c r="L80" s="22" t="n">
        <f aca="false">L69-L73+L78</f>
        <v>47.6864650178302</v>
      </c>
      <c r="M80" s="22" t="n">
        <f aca="false">M69-M73+M78</f>
        <v>73.0411428376959</v>
      </c>
      <c r="N80" s="22" t="n">
        <f aca="false">N69-N73+N78</f>
        <v>97.7760169949803</v>
      </c>
      <c r="O80" s="22" t="n">
        <f aca="false">O69-O73+O78</f>
        <v>121.595634664917</v>
      </c>
      <c r="P80" s="22" t="n">
        <f aca="false">P69-P73+P78</f>
        <v>140.307346986334</v>
      </c>
      <c r="Q80" s="22" t="n">
        <f aca="false">Q69-Q73+Q78</f>
        <v>157.143866670992</v>
      </c>
      <c r="R80" s="22" t="n">
        <f aca="false">R69-R73+R78</f>
        <v>171.07920168414</v>
      </c>
    </row>
    <row r="81" customFormat="false" ht="13.8" hidden="false" customHeight="false" outlineLevel="0" collapsed="false">
      <c r="A81" s="3" t="s">
        <v>124</v>
      </c>
      <c r="E81" s="22" t="n">
        <f aca="false">D44</f>
        <v>169.198</v>
      </c>
      <c r="F81" s="22" t="n">
        <f aca="false">E44</f>
        <v>144.254</v>
      </c>
      <c r="G81" s="22" t="n">
        <f aca="false">F44</f>
        <v>141.924</v>
      </c>
      <c r="H81" s="22" t="n">
        <f aca="false">G44</f>
        <v>133.639</v>
      </c>
      <c r="I81" s="22" t="n">
        <f aca="false">H44</f>
        <v>195.53</v>
      </c>
      <c r="J81" s="22" t="n">
        <f aca="false">I44</f>
        <v>178.274941707343</v>
      </c>
      <c r="K81" s="22" t="n">
        <f aca="false">J44</f>
        <v>179.907926689047</v>
      </c>
      <c r="L81" s="22" t="n">
        <f aca="false">K44</f>
        <v>202.161665438825</v>
      </c>
      <c r="M81" s="22" t="n">
        <f aca="false">L44</f>
        <v>249.848130456655</v>
      </c>
      <c r="N81" s="22" t="n">
        <f aca="false">M44</f>
        <v>322.889273294351</v>
      </c>
      <c r="O81" s="22" t="n">
        <f aca="false">N44</f>
        <v>420.665290289332</v>
      </c>
      <c r="P81" s="22" t="n">
        <f aca="false">O44</f>
        <v>542.260924954249</v>
      </c>
      <c r="Q81" s="22" t="n">
        <f aca="false">P44</f>
        <v>682.568271940583</v>
      </c>
      <c r="R81" s="22" t="n">
        <f aca="false">Q44</f>
        <v>839.712138611575</v>
      </c>
    </row>
    <row r="82" customFormat="false" ht="13.8" hidden="false" customHeight="false" outlineLevel="0" collapsed="false">
      <c r="A82" s="2" t="s">
        <v>125</v>
      </c>
      <c r="E82" s="27" t="n">
        <f aca="false">E80+E81</f>
        <v>154.14</v>
      </c>
      <c r="F82" s="27" t="n">
        <f aca="false">F80+F81</f>
        <v>141.163</v>
      </c>
      <c r="G82" s="27" t="n">
        <f aca="false">G80+G81</f>
        <v>139.234</v>
      </c>
      <c r="H82" s="27" t="n">
        <f aca="false">H80+H81</f>
        <v>162.591</v>
      </c>
      <c r="I82" s="27" t="n">
        <f aca="false">I80+I81</f>
        <v>178.274941707343</v>
      </c>
      <c r="J82" s="27" t="n">
        <f aca="false">J80+J81</f>
        <v>179.907926689047</v>
      </c>
      <c r="K82" s="27" t="n">
        <f aca="false">K80+K81</f>
        <v>202.161665438825</v>
      </c>
      <c r="L82" s="27" t="n">
        <f aca="false">L80+L81</f>
        <v>249.848130456655</v>
      </c>
      <c r="M82" s="27" t="n">
        <f aca="false">M80+M81</f>
        <v>322.889273294351</v>
      </c>
      <c r="N82" s="27" t="n">
        <f aca="false">N80+N81</f>
        <v>420.665290289332</v>
      </c>
      <c r="O82" s="27" t="n">
        <f aca="false">O80+O81</f>
        <v>542.260924954249</v>
      </c>
      <c r="P82" s="27" t="n">
        <f aca="false">P80+P81</f>
        <v>682.568271940583</v>
      </c>
      <c r="Q82" s="27" t="n">
        <f aca="false">Q80+Q81</f>
        <v>839.712138611575</v>
      </c>
      <c r="R82" s="27" t="n">
        <f aca="false">R80+R81</f>
        <v>1010.79134029571</v>
      </c>
    </row>
    <row r="83" customFormat="false" ht="13.8" hidden="false" customHeight="false" outlineLevel="0" collapsed="false">
      <c r="A83" s="1" t="s">
        <v>126</v>
      </c>
    </row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6.15" hidden="false" customHeight="false" outlineLevel="0" collapsed="false">
      <c r="A86" s="15" t="s">
        <v>127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</row>
    <row r="87" customFormat="false" ht="13.8" hidden="false" customHeight="false" outlineLevel="0" collapsed="false"/>
    <row r="88" customFormat="false" ht="13.8" hidden="false" customHeight="false" outlineLevel="0" collapsed="false">
      <c r="A88" s="2" t="s">
        <v>128</v>
      </c>
    </row>
    <row r="89" customFormat="false" ht="13.8" hidden="false" customHeight="false" outlineLevel="0" collapsed="false">
      <c r="A89" s="3" t="s">
        <v>27</v>
      </c>
      <c r="D89" s="22" t="n">
        <f aca="false">D45</f>
        <v>39.304</v>
      </c>
      <c r="E89" s="22" t="n">
        <f aca="false">E45</f>
        <v>40.258</v>
      </c>
      <c r="F89" s="22" t="n">
        <f aca="false">F45</f>
        <v>47.964</v>
      </c>
      <c r="G89" s="22" t="n">
        <f aca="false">G45</f>
        <v>52.34</v>
      </c>
      <c r="H89" s="22" t="n">
        <f aca="false">H45</f>
        <v>62.886</v>
      </c>
      <c r="I89" s="22" t="n">
        <f aca="false">I45</f>
        <v>69.8616401095891</v>
      </c>
      <c r="J89" s="22" t="n">
        <f aca="false">J45</f>
        <v>78.2450369227397</v>
      </c>
      <c r="K89" s="22" t="n">
        <f aca="false">K45</f>
        <v>86.8519909842411</v>
      </c>
      <c r="L89" s="22" t="n">
        <f aca="false">L45</f>
        <v>95.5371900826653</v>
      </c>
      <c r="M89" s="22" t="n">
        <f aca="false">M45</f>
        <v>104.135537190105</v>
      </c>
      <c r="N89" s="22" t="n">
        <f aca="false">N45</f>
        <v>112.466380165314</v>
      </c>
      <c r="O89" s="22" t="n">
        <f aca="false">O45</f>
        <v>120.339026776885</v>
      </c>
      <c r="P89" s="22" t="n">
        <f aca="false">P45</f>
        <v>127.559368383499</v>
      </c>
      <c r="Q89" s="22" t="n">
        <f aca="false">Q45</f>
        <v>133.937336802674</v>
      </c>
      <c r="R89" s="22" t="n">
        <f aca="false">R45</f>
        <v>139.696642285189</v>
      </c>
    </row>
    <row r="90" customFormat="false" ht="13.8" hidden="false" customHeight="false" outlineLevel="0" collapsed="false">
      <c r="A90" s="3" t="s">
        <v>29</v>
      </c>
      <c r="D90" s="22" t="n">
        <f aca="false">D46</f>
        <v>1.17</v>
      </c>
      <c r="E90" s="22" t="n">
        <f aca="false">E46</f>
        <v>2.67</v>
      </c>
      <c r="F90" s="22" t="n">
        <f aca="false">F46</f>
        <v>0</v>
      </c>
      <c r="G90" s="22" t="n">
        <f aca="false">G46</f>
        <v>0</v>
      </c>
      <c r="H90" s="22" t="n">
        <f aca="false">H46</f>
        <v>0</v>
      </c>
      <c r="I90" s="22" t="n">
        <f aca="false">I46</f>
        <v>0</v>
      </c>
      <c r="J90" s="22" t="n">
        <f aca="false">J46</f>
        <v>0</v>
      </c>
      <c r="K90" s="22" t="n">
        <f aca="false">K46</f>
        <v>0</v>
      </c>
      <c r="L90" s="22" t="n">
        <f aca="false">L46</f>
        <v>0</v>
      </c>
      <c r="M90" s="22" t="n">
        <f aca="false">M46</f>
        <v>0</v>
      </c>
      <c r="N90" s="22" t="n">
        <f aca="false">N46</f>
        <v>0</v>
      </c>
      <c r="O90" s="22" t="n">
        <f aca="false">O46</f>
        <v>0</v>
      </c>
      <c r="P90" s="22" t="n">
        <f aca="false">P46</f>
        <v>0</v>
      </c>
      <c r="Q90" s="22" t="n">
        <f aca="false">Q46</f>
        <v>0</v>
      </c>
      <c r="R90" s="22" t="n">
        <f aca="false">R46</f>
        <v>0</v>
      </c>
    </row>
    <row r="91" customFormat="false" ht="13.8" hidden="false" customHeight="false" outlineLevel="0" collapsed="false">
      <c r="A91" s="3" t="s">
        <v>33</v>
      </c>
      <c r="D91" s="22" t="n">
        <f aca="false">D51</f>
        <v>79.125</v>
      </c>
      <c r="E91" s="22" t="n">
        <f aca="false">E51</f>
        <v>79.441</v>
      </c>
      <c r="F91" s="22" t="n">
        <f aca="false">F51</f>
        <v>91.892</v>
      </c>
      <c r="G91" s="22" t="n">
        <f aca="false">G51</f>
        <v>99.711</v>
      </c>
      <c r="H91" s="22" t="n">
        <f aca="false">H51</f>
        <v>120.725</v>
      </c>
      <c r="I91" s="22" t="n">
        <f aca="false">I51</f>
        <v>130.716118762192</v>
      </c>
      <c r="J91" s="22" t="n">
        <f aca="false">J51</f>
        <v>146.402053013655</v>
      </c>
      <c r="K91" s="22" t="n">
        <f aca="false">K51</f>
        <v>162.506278845157</v>
      </c>
      <c r="L91" s="22" t="n">
        <f aca="false">L51</f>
        <v>178.756906729673</v>
      </c>
      <c r="M91" s="22" t="n">
        <f aca="false">M51</f>
        <v>194.845028335343</v>
      </c>
      <c r="N91" s="22" t="n">
        <f aca="false">N51</f>
        <v>210.432630602171</v>
      </c>
      <c r="O91" s="22" t="n">
        <f aca="false">O51</f>
        <v>225.162914744323</v>
      </c>
      <c r="P91" s="22" t="n">
        <f aca="false">P51</f>
        <v>238.672689628982</v>
      </c>
      <c r="Q91" s="22" t="n">
        <f aca="false">Q51</f>
        <v>250.606324110431</v>
      </c>
      <c r="R91" s="22" t="n">
        <f aca="false">R51</f>
        <v>261.38239604718</v>
      </c>
    </row>
    <row r="92" customFormat="false" ht="13.8" hidden="false" customHeight="false" outlineLevel="0" collapsed="false">
      <c r="A92" s="3" t="s">
        <v>129</v>
      </c>
      <c r="D92" s="29" t="n">
        <f aca="false">D89+D90-D91</f>
        <v>-38.651</v>
      </c>
      <c r="E92" s="29" t="n">
        <f aca="false">E89+E90-E91</f>
        <v>-36.513</v>
      </c>
      <c r="F92" s="29" t="n">
        <f aca="false">F89+F90-F91</f>
        <v>-43.928</v>
      </c>
      <c r="G92" s="29" t="n">
        <f aca="false">G89+G90-G91</f>
        <v>-47.371</v>
      </c>
      <c r="H92" s="29" t="n">
        <f aca="false">H89+H90-H91</f>
        <v>-57.839</v>
      </c>
      <c r="I92" s="29" t="n">
        <f aca="false">I89+I90-I91</f>
        <v>-60.8544786526027</v>
      </c>
      <c r="J92" s="29" t="n">
        <f aca="false">J89+J90-J91</f>
        <v>-68.1570160909151</v>
      </c>
      <c r="K92" s="29" t="n">
        <f aca="false">K89+K90-K91</f>
        <v>-75.6542878609157</v>
      </c>
      <c r="L92" s="29" t="n">
        <f aca="false">L89+L90-L91</f>
        <v>-83.2197166470073</v>
      </c>
      <c r="M92" s="29" t="n">
        <f aca="false">M89+M90-M91</f>
        <v>-90.709491145238</v>
      </c>
      <c r="N92" s="29" t="n">
        <f aca="false">N89+N90-N91</f>
        <v>-97.966250436857</v>
      </c>
      <c r="O92" s="29" t="n">
        <f aca="false">O89+O90-O91</f>
        <v>-104.823887967437</v>
      </c>
      <c r="P92" s="29" t="n">
        <f aca="false">P89+P90-P91</f>
        <v>-111.113321245483</v>
      </c>
      <c r="Q92" s="29" t="n">
        <f aca="false">Q89+Q90-Q91</f>
        <v>-116.668987307757</v>
      </c>
      <c r="R92" s="29" t="n">
        <f aca="false">R89+R90-R91</f>
        <v>-121.685753761991</v>
      </c>
    </row>
    <row r="93" customFormat="false" ht="13.8" hidden="false" customHeight="false" outlineLevel="0" collapsed="false">
      <c r="A93" s="3" t="s">
        <v>130</v>
      </c>
      <c r="D93" s="22" t="n">
        <f aca="false">D92</f>
        <v>-38.651</v>
      </c>
      <c r="E93" s="22" t="n">
        <f aca="false">E92-D92</f>
        <v>2.138</v>
      </c>
      <c r="F93" s="22" t="n">
        <f aca="false">F92-E92</f>
        <v>-7.415</v>
      </c>
      <c r="G93" s="22" t="n">
        <f aca="false">G92-F92</f>
        <v>-3.443</v>
      </c>
      <c r="H93" s="22" t="n">
        <f aca="false">H92-G92</f>
        <v>-10.468</v>
      </c>
      <c r="I93" s="22" t="n">
        <f aca="false">I92-H92</f>
        <v>-3.01547865260273</v>
      </c>
      <c r="J93" s="22" t="n">
        <f aca="false">J92-I92</f>
        <v>-7.30253743831236</v>
      </c>
      <c r="K93" s="22" t="n">
        <f aca="false">K92-J92</f>
        <v>-7.49727177000065</v>
      </c>
      <c r="L93" s="22" t="n">
        <f aca="false">L92-K92</f>
        <v>-7.5654287860916</v>
      </c>
      <c r="M93" s="22" t="n">
        <f aca="false">M92-L92</f>
        <v>-7.48977449823065</v>
      </c>
      <c r="N93" s="22" t="n">
        <f aca="false">N92-M92</f>
        <v>-7.25675929161906</v>
      </c>
      <c r="O93" s="22" t="n">
        <f aca="false">O92-N92</f>
        <v>-6.85763753057998</v>
      </c>
      <c r="P93" s="22" t="n">
        <f aca="false">P92-O92</f>
        <v>-6.28943327804628</v>
      </c>
      <c r="Q93" s="22" t="n">
        <f aca="false">Q92-P92</f>
        <v>-5.55566606227413</v>
      </c>
      <c r="R93" s="22" t="n">
        <f aca="false">R92-Q92</f>
        <v>-5.01676645423356</v>
      </c>
    </row>
    <row r="94" customFormat="false" ht="13.8" hidden="false" customHeight="false" outlineLevel="0" collapsed="false"/>
    <row r="95" customFormat="false" ht="13.8" hidden="false" customHeight="false" outlineLevel="0" collapsed="false">
      <c r="A95" s="2" t="s">
        <v>131</v>
      </c>
    </row>
    <row r="96" customFormat="false" ht="13.8" hidden="false" customHeight="false" outlineLevel="0" collapsed="false">
      <c r="A96" s="3" t="s">
        <v>132</v>
      </c>
      <c r="D96" s="4" t="n">
        <f aca="false">Data_Input!C26</f>
        <v>137.397</v>
      </c>
      <c r="E96" s="22" t="n">
        <f aca="false">D99</f>
        <v>149.596</v>
      </c>
      <c r="F96" s="22" t="n">
        <f aca="false">E99</f>
        <v>165.153</v>
      </c>
      <c r="G96" s="22" t="n">
        <f aca="false">F99</f>
        <v>185.458</v>
      </c>
      <c r="H96" s="22" t="n">
        <f aca="false">G99</f>
        <v>222.682</v>
      </c>
      <c r="I96" s="22" t="n">
        <f aca="false">H47</f>
        <v>336.865</v>
      </c>
      <c r="J96" s="22" t="n">
        <f aca="false">I99</f>
        <v>409.968775</v>
      </c>
      <c r="K96" s="22" t="n">
        <f aca="false">J99</f>
        <v>483.320804625</v>
      </c>
      <c r="L96" s="22" t="n">
        <f aca="false">K99</f>
        <v>551.904952324375</v>
      </c>
      <c r="M96" s="22" t="n">
        <f aca="false">L99</f>
        <v>611.031130423291</v>
      </c>
      <c r="N96" s="22" t="n">
        <f aca="false">M99</f>
        <v>661.314106945777</v>
      </c>
      <c r="O96" s="22" t="n">
        <f aca="false">N99</f>
        <v>703.328689994301</v>
      </c>
      <c r="P96" s="22" t="n">
        <f aca="false">O99</f>
        <v>737.612325144672</v>
      </c>
      <c r="Q96" s="22" t="n">
        <f aca="false">P99</f>
        <v>767.667524010268</v>
      </c>
      <c r="R96" s="22" t="n">
        <f aca="false">Q99</f>
        <v>793.769134949601</v>
      </c>
    </row>
    <row r="97" customFormat="false" ht="13.8" hidden="false" customHeight="false" outlineLevel="0" collapsed="false">
      <c r="A97" s="3" t="s">
        <v>133</v>
      </c>
      <c r="D97" s="4" t="n">
        <f aca="false">Data_Input!C22</f>
        <v>24.64</v>
      </c>
      <c r="E97" s="4" t="n">
        <f aca="false">Data_Input!D22</f>
        <v>31.485</v>
      </c>
      <c r="F97" s="4" t="n">
        <f aca="false">Data_Input!E22</f>
        <v>32.251</v>
      </c>
      <c r="G97" s="4" t="n">
        <f aca="false">Data_Input!F22</f>
        <v>52.535</v>
      </c>
      <c r="H97" s="4" t="n">
        <f aca="false">Data_Input!G22</f>
        <v>91.447</v>
      </c>
      <c r="I97" s="22" t="n">
        <f aca="false">I18</f>
        <v>95</v>
      </c>
      <c r="J97" s="22" t="n">
        <f aca="false">J18</f>
        <v>100</v>
      </c>
      <c r="K97" s="22" t="n">
        <f aca="false">K18</f>
        <v>100</v>
      </c>
      <c r="L97" s="22" t="n">
        <f aca="false">L18</f>
        <v>95</v>
      </c>
      <c r="M97" s="22" t="n">
        <f aca="false">M18</f>
        <v>90</v>
      </c>
      <c r="N97" s="22" t="n">
        <f aca="false">N18</f>
        <v>85</v>
      </c>
      <c r="O97" s="22" t="n">
        <f aca="false">O18</f>
        <v>80</v>
      </c>
      <c r="P97" s="22" t="n">
        <f aca="false">P18</f>
        <v>78</v>
      </c>
      <c r="Q97" s="22" t="n">
        <f aca="false">Q18</f>
        <v>76</v>
      </c>
      <c r="R97" s="22" t="n">
        <f aca="false">R18</f>
        <v>75</v>
      </c>
    </row>
    <row r="98" customFormat="false" ht="13.8" hidden="false" customHeight="false" outlineLevel="0" collapsed="false">
      <c r="A98" s="3" t="s">
        <v>134</v>
      </c>
      <c r="D98" s="22" t="n">
        <f aca="false">D32</f>
        <v>12.441</v>
      </c>
      <c r="E98" s="22" t="n">
        <f aca="false">E32</f>
        <v>15.928</v>
      </c>
      <c r="F98" s="22" t="n">
        <f aca="false">F32</f>
        <v>11.946</v>
      </c>
      <c r="G98" s="22" t="n">
        <f aca="false">G32</f>
        <v>15.311</v>
      </c>
      <c r="H98" s="22" t="n">
        <f aca="false">H32</f>
        <v>21.136</v>
      </c>
      <c r="I98" s="22" t="n">
        <f aca="false">I32</f>
        <v>21.896225</v>
      </c>
      <c r="J98" s="22" t="n">
        <f aca="false">J32</f>
        <v>26.647970375</v>
      </c>
      <c r="K98" s="22" t="n">
        <f aca="false">K32</f>
        <v>31.415852300625</v>
      </c>
      <c r="L98" s="22" t="n">
        <f aca="false">L32</f>
        <v>35.8738219010844</v>
      </c>
      <c r="M98" s="22" t="n">
        <f aca="false">M32</f>
        <v>39.7170234775139</v>
      </c>
      <c r="N98" s="22" t="n">
        <f aca="false">N32</f>
        <v>42.9854169514755</v>
      </c>
      <c r="O98" s="22" t="n">
        <f aca="false">O32</f>
        <v>45.7163648496296</v>
      </c>
      <c r="P98" s="22" t="n">
        <f aca="false">P32</f>
        <v>47.9448011344037</v>
      </c>
      <c r="Q98" s="22" t="n">
        <f aca="false">Q32</f>
        <v>49.8983890606674</v>
      </c>
      <c r="R98" s="22" t="n">
        <f aca="false">R32</f>
        <v>51.594993771724</v>
      </c>
    </row>
    <row r="99" customFormat="false" ht="13.8" hidden="false" customHeight="false" outlineLevel="0" collapsed="false">
      <c r="A99" s="2" t="s">
        <v>135</v>
      </c>
      <c r="D99" s="26" t="n">
        <f aca="false">D96+D97-D98</f>
        <v>149.596</v>
      </c>
      <c r="E99" s="26" t="n">
        <f aca="false">E96+E97-E98</f>
        <v>165.153</v>
      </c>
      <c r="F99" s="26" t="n">
        <f aca="false">F96+F97-F98</f>
        <v>185.458</v>
      </c>
      <c r="G99" s="26" t="n">
        <f aca="false">G96+G97-G98</f>
        <v>222.682</v>
      </c>
      <c r="H99" s="26" t="n">
        <f aca="false">H96+H97-H98</f>
        <v>292.993</v>
      </c>
      <c r="I99" s="26" t="n">
        <f aca="false">I96+I97-I98</f>
        <v>409.968775</v>
      </c>
      <c r="J99" s="26" t="n">
        <f aca="false">J96+J97-J98</f>
        <v>483.320804625</v>
      </c>
      <c r="K99" s="26" t="n">
        <f aca="false">K96+K97-K98</f>
        <v>551.904952324375</v>
      </c>
      <c r="L99" s="26" t="n">
        <f aca="false">L96+L97-L98</f>
        <v>611.031130423291</v>
      </c>
      <c r="M99" s="26" t="n">
        <f aca="false">M96+M97-M98</f>
        <v>661.314106945777</v>
      </c>
      <c r="N99" s="26" t="n">
        <f aca="false">N96+N97-N98</f>
        <v>703.328689994301</v>
      </c>
      <c r="O99" s="26" t="n">
        <f aca="false">O96+O97-O98</f>
        <v>737.612325144672</v>
      </c>
      <c r="P99" s="26" t="n">
        <f aca="false">P96+P97-P98</f>
        <v>767.667524010268</v>
      </c>
      <c r="Q99" s="26" t="n">
        <f aca="false">Q96+Q97-Q98</f>
        <v>793.769134949601</v>
      </c>
      <c r="R99" s="26" t="n">
        <f aca="false">R96+R97-R98</f>
        <v>817.174141177876</v>
      </c>
    </row>
    <row r="100" customFormat="false" ht="13.8" hidden="false" customHeight="false" outlineLevel="0" collapsed="false"/>
    <row r="101" customFormat="false" ht="13.8" hidden="false" customHeight="false" outlineLevel="0" collapsed="false">
      <c r="A101" s="2" t="s">
        <v>136</v>
      </c>
    </row>
    <row r="102" customFormat="false" ht="13.8" hidden="false" customHeight="false" outlineLevel="0" collapsed="false">
      <c r="A102" s="3" t="s">
        <v>137</v>
      </c>
      <c r="D102" s="4" t="n">
        <f aca="false">Data_Input!C27</f>
        <v>29.744</v>
      </c>
      <c r="E102" s="22" t="n">
        <f aca="false">D104</f>
        <v>28.508</v>
      </c>
      <c r="F102" s="22" t="n">
        <f aca="false">E104</f>
        <v>27.312</v>
      </c>
      <c r="G102" s="22" t="n">
        <f aca="false">F104</f>
        <v>26.552</v>
      </c>
      <c r="H102" s="22" t="n">
        <f aca="false">G104</f>
        <v>27.44</v>
      </c>
      <c r="I102" s="22" t="n">
        <f aca="false">H52</f>
        <v>59.291</v>
      </c>
      <c r="J102" s="22" t="n">
        <f aca="false">I104</f>
        <v>59.291</v>
      </c>
      <c r="K102" s="22" t="n">
        <f aca="false">J104</f>
        <v>59.291</v>
      </c>
      <c r="L102" s="22" t="n">
        <f aca="false">K104</f>
        <v>59.291</v>
      </c>
      <c r="M102" s="22" t="n">
        <f aca="false">L104</f>
        <v>59.291</v>
      </c>
      <c r="N102" s="22" t="n">
        <f aca="false">M104</f>
        <v>59.291</v>
      </c>
      <c r="O102" s="22" t="n">
        <f aca="false">N104</f>
        <v>59.291</v>
      </c>
      <c r="P102" s="22" t="n">
        <f aca="false">O104</f>
        <v>59.291</v>
      </c>
      <c r="Q102" s="22" t="n">
        <f aca="false">P104</f>
        <v>59.291</v>
      </c>
      <c r="R102" s="22" t="n">
        <f aca="false">Q104</f>
        <v>59.291</v>
      </c>
    </row>
    <row r="103" customFormat="false" ht="13.8" hidden="false" customHeight="false" outlineLevel="0" collapsed="false">
      <c r="A103" s="3" t="s">
        <v>138</v>
      </c>
      <c r="D103" s="4" t="n">
        <f aca="false">Data_Input!C23</f>
        <v>-1.236</v>
      </c>
      <c r="E103" s="4" t="n">
        <f aca="false">Data_Input!D23</f>
        <v>-1.196</v>
      </c>
      <c r="F103" s="4" t="n">
        <f aca="false">Data_Input!E23</f>
        <v>-0.76</v>
      </c>
      <c r="G103" s="4" t="n">
        <f aca="false">Data_Input!F23</f>
        <v>0.888</v>
      </c>
      <c r="H103" s="4" t="n">
        <f aca="false">Data_Input!G23</f>
        <v>32.137</v>
      </c>
      <c r="I103" s="22" t="n">
        <f aca="false">I19</f>
        <v>0</v>
      </c>
      <c r="J103" s="22" t="n">
        <f aca="false">J19</f>
        <v>0</v>
      </c>
      <c r="K103" s="22" t="n">
        <f aca="false">K19</f>
        <v>0</v>
      </c>
      <c r="L103" s="22" t="n">
        <f aca="false">L19</f>
        <v>0</v>
      </c>
      <c r="M103" s="22" t="n">
        <f aca="false">M19</f>
        <v>0</v>
      </c>
      <c r="N103" s="22" t="n">
        <f aca="false">N19</f>
        <v>0</v>
      </c>
      <c r="O103" s="22" t="n">
        <f aca="false">O19</f>
        <v>0</v>
      </c>
      <c r="P103" s="22" t="n">
        <f aca="false">P19</f>
        <v>0</v>
      </c>
      <c r="Q103" s="22" t="n">
        <f aca="false">Q19</f>
        <v>0</v>
      </c>
      <c r="R103" s="22" t="n">
        <f aca="false">R19</f>
        <v>0</v>
      </c>
    </row>
    <row r="104" customFormat="false" ht="13.8" hidden="false" customHeight="false" outlineLevel="0" collapsed="false">
      <c r="A104" s="2" t="s">
        <v>139</v>
      </c>
      <c r="D104" s="26" t="n">
        <f aca="false">D102+D103</f>
        <v>28.508</v>
      </c>
      <c r="E104" s="26" t="n">
        <f aca="false">E102+E103</f>
        <v>27.312</v>
      </c>
      <c r="F104" s="26" t="n">
        <f aca="false">F102+F103</f>
        <v>26.552</v>
      </c>
      <c r="G104" s="26" t="n">
        <f aca="false">G102+G103</f>
        <v>27.44</v>
      </c>
      <c r="H104" s="26" t="n">
        <f aca="false">H102+H103</f>
        <v>59.577</v>
      </c>
      <c r="I104" s="26" t="n">
        <f aca="false">I102+I103</f>
        <v>59.291</v>
      </c>
      <c r="J104" s="26" t="n">
        <f aca="false">J102+J103</f>
        <v>59.291</v>
      </c>
      <c r="K104" s="26" t="n">
        <f aca="false">K102+K103</f>
        <v>59.291</v>
      </c>
      <c r="L104" s="26" t="n">
        <f aca="false">L102+L103</f>
        <v>59.291</v>
      </c>
      <c r="M104" s="26" t="n">
        <f aca="false">M102+M103</f>
        <v>59.291</v>
      </c>
      <c r="N104" s="26" t="n">
        <f aca="false">N102+N103</f>
        <v>59.291</v>
      </c>
      <c r="O104" s="26" t="n">
        <f aca="false">O102+O103</f>
        <v>59.291</v>
      </c>
      <c r="P104" s="26" t="n">
        <f aca="false">P102+P103</f>
        <v>59.291</v>
      </c>
      <c r="Q104" s="26" t="n">
        <f aca="false">Q102+Q103</f>
        <v>59.291</v>
      </c>
      <c r="R104" s="26" t="n">
        <f aca="false">R102+R103</f>
        <v>59.291</v>
      </c>
    </row>
    <row r="105" customFormat="false" ht="13.8" hidden="false" customHeight="false" outlineLevel="0" collapsed="false">
      <c r="A105" s="3" t="s">
        <v>140</v>
      </c>
      <c r="D105" s="22" t="n">
        <f aca="false">D33</f>
        <v>0.346</v>
      </c>
      <c r="E105" s="22" t="n">
        <f aca="false">E33</f>
        <v>0.357</v>
      </c>
      <c r="F105" s="22" t="n">
        <f aca="false">F33</f>
        <v>0.308</v>
      </c>
      <c r="G105" s="22" t="n">
        <f aca="false">G33</f>
        <v>0.268</v>
      </c>
      <c r="H105" s="22" t="n">
        <f aca="false">H33</f>
        <v>0.143</v>
      </c>
      <c r="I105" s="22" t="n">
        <f aca="false">I13*AVERAGE(I102,I104)</f>
        <v>1.77873</v>
      </c>
      <c r="J105" s="22" t="n">
        <f aca="false">J13*AVERAGE(J102,J104)</f>
        <v>1.77873</v>
      </c>
      <c r="K105" s="22" t="n">
        <f aca="false">K13*AVERAGE(K102,K104)</f>
        <v>1.77873</v>
      </c>
      <c r="L105" s="22" t="n">
        <f aca="false">L13*AVERAGE(L102,L104)</f>
        <v>1.77873</v>
      </c>
      <c r="M105" s="22" t="n">
        <f aca="false">M13*AVERAGE(M102,M104)</f>
        <v>1.77873</v>
      </c>
      <c r="N105" s="22" t="n">
        <f aca="false">N13*AVERAGE(N102,N104)</f>
        <v>1.77873</v>
      </c>
      <c r="O105" s="22" t="n">
        <f aca="false">O13*AVERAGE(O102,O104)</f>
        <v>1.77873</v>
      </c>
      <c r="P105" s="22" t="n">
        <f aca="false">P13*AVERAGE(P102,P104)</f>
        <v>1.77873</v>
      </c>
      <c r="Q105" s="22" t="n">
        <f aca="false">Q13*AVERAGE(Q102,Q104)</f>
        <v>1.77873</v>
      </c>
      <c r="R105" s="22" t="n">
        <f aca="false">R13*AVERAGE(R102,R104)</f>
        <v>1.77873</v>
      </c>
    </row>
    <row r="106" customFormat="false" ht="13.8" hidden="false" customHeight="false" outlineLevel="0" collapsed="false"/>
    <row r="107" customFormat="false" ht="13.8" hidden="false" customHeight="false" outlineLevel="0" collapsed="false">
      <c r="A107" s="2" t="s">
        <v>141</v>
      </c>
    </row>
    <row r="108" customFormat="false" ht="13.8" hidden="false" customHeight="false" outlineLevel="0" collapsed="false">
      <c r="A108" s="3" t="s">
        <v>142</v>
      </c>
      <c r="I108" s="4" t="n">
        <f aca="false">Data_Input!C28</f>
        <v>0</v>
      </c>
      <c r="J108" s="22" t="n">
        <f aca="false">I110</f>
        <v>0</v>
      </c>
      <c r="K108" s="22" t="n">
        <f aca="false">J110</f>
        <v>0</v>
      </c>
      <c r="L108" s="22" t="n">
        <f aca="false">K110</f>
        <v>0</v>
      </c>
      <c r="M108" s="22" t="n">
        <f aca="false">L110</f>
        <v>0</v>
      </c>
      <c r="N108" s="22" t="n">
        <f aca="false">M110</f>
        <v>0</v>
      </c>
      <c r="O108" s="22" t="n">
        <f aca="false">N110</f>
        <v>0</v>
      </c>
      <c r="P108" s="22" t="n">
        <f aca="false">O110</f>
        <v>0</v>
      </c>
      <c r="Q108" s="22" t="n">
        <f aca="false">P110</f>
        <v>0</v>
      </c>
      <c r="R108" s="22" t="n">
        <f aca="false">Q110</f>
        <v>0</v>
      </c>
    </row>
    <row r="109" customFormat="false" ht="13.8" hidden="false" customHeight="false" outlineLevel="0" collapsed="false">
      <c r="A109" s="3" t="s">
        <v>143</v>
      </c>
      <c r="I109" s="22" t="n">
        <f aca="false">MIN(I108,MAX(I35,0))</f>
        <v>0</v>
      </c>
      <c r="J109" s="22" t="n">
        <f aca="false">MIN(J108,MAX(J35,0))</f>
        <v>0</v>
      </c>
      <c r="K109" s="22" t="n">
        <f aca="false">MIN(K108,MAX(K35,0))</f>
        <v>0</v>
      </c>
      <c r="L109" s="22" t="n">
        <f aca="false">MIN(L108,MAX(L35,0))</f>
        <v>0</v>
      </c>
      <c r="M109" s="22" t="n">
        <f aca="false">MIN(M108,MAX(M35,0))</f>
        <v>0</v>
      </c>
      <c r="N109" s="22" t="n">
        <f aca="false">MIN(N108,MAX(N35,0))</f>
        <v>0</v>
      </c>
      <c r="O109" s="22" t="n">
        <f aca="false">MIN(O108,MAX(O35,0))</f>
        <v>0</v>
      </c>
      <c r="P109" s="22" t="n">
        <f aca="false">MIN(P108,MAX(P35,0))</f>
        <v>0</v>
      </c>
      <c r="Q109" s="22" t="n">
        <f aca="false">MIN(Q108,MAX(Q35,0))</f>
        <v>0</v>
      </c>
      <c r="R109" s="22" t="n">
        <f aca="false">MIN(R108,MAX(R35,0))</f>
        <v>0</v>
      </c>
    </row>
    <row r="110" customFormat="false" ht="13.8" hidden="false" customHeight="false" outlineLevel="0" collapsed="false">
      <c r="A110" s="2" t="s">
        <v>144</v>
      </c>
      <c r="I110" s="26" t="n">
        <f aca="false">I108-I109</f>
        <v>0</v>
      </c>
      <c r="J110" s="26" t="n">
        <f aca="false">J108-J109</f>
        <v>0</v>
      </c>
      <c r="K110" s="26" t="n">
        <f aca="false">K108-K109</f>
        <v>0</v>
      </c>
      <c r="L110" s="26" t="n">
        <f aca="false">L108-L109</f>
        <v>0</v>
      </c>
      <c r="M110" s="26" t="n">
        <f aca="false">M108-M109</f>
        <v>0</v>
      </c>
      <c r="N110" s="26" t="n">
        <f aca="false">N108-N109</f>
        <v>0</v>
      </c>
      <c r="O110" s="26" t="n">
        <f aca="false">O108-O109</f>
        <v>0</v>
      </c>
      <c r="P110" s="26" t="n">
        <f aca="false">P108-P109</f>
        <v>0</v>
      </c>
      <c r="Q110" s="26" t="n">
        <f aca="false">Q108-Q109</f>
        <v>0</v>
      </c>
      <c r="R110" s="26" t="n">
        <f aca="false">R108-R109</f>
        <v>0</v>
      </c>
    </row>
    <row r="111" customFormat="false" ht="13.8" hidden="false" customHeight="false" outlineLevel="0" collapsed="false"/>
    <row r="112" customFormat="false" ht="13.8" hidden="false" customHeight="false" outlineLevel="0" collapsed="false">
      <c r="A112" s="18" t="s">
        <v>145</v>
      </c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customFormat="false" ht="13.8" hidden="false" customHeight="false" outlineLevel="0" collapsed="false">
      <c r="A113" s="1" t="s">
        <v>146</v>
      </c>
    </row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true" customHeight="false" outlineLevel="0" collapsed="false"/>
    <row r="117" customFormat="false" ht="13.8" hidden="true" customHeight="false" outlineLevel="0" collapsed="false"/>
    <row r="118" customFormat="false" ht="13.8" hidden="true" customHeight="false" outlineLevel="0" collapsed="false"/>
    <row r="119" customFormat="false" ht="13.8" hidden="true" customHeight="false" outlineLevel="0" collapsed="false"/>
    <row r="120" customFormat="false" ht="13.8" hidden="true" customHeight="false" outlineLevel="0" collapsed="false"/>
    <row r="121" customFormat="false" ht="13.8" hidden="true" customHeight="false" outlineLevel="0" collapsed="false"/>
    <row r="122" customFormat="false" ht="13.8" hidden="true" customHeight="false" outlineLevel="0" collapsed="false"/>
    <row r="123" customFormat="false" ht="13.8" hidden="true" customHeight="false" outlineLevel="0" collapsed="false"/>
    <row r="124" customFormat="false" ht="13.8" hidden="true" customHeight="false" outlineLevel="0" collapsed="false"/>
    <row r="125" customFormat="false" ht="13.8" hidden="true" customHeight="false" outlineLevel="0" collapsed="false"/>
    <row r="126" customFormat="false" ht="13.8" hidden="true" customHeight="false" outlineLevel="0" collapsed="false"/>
    <row r="127" customFormat="false" ht="13.8" hidden="true" customHeight="false" outlineLevel="0" collapsed="false"/>
    <row r="128" customFormat="false" ht="13.8" hidden="true" customHeight="false" outlineLevel="0" collapsed="false"/>
    <row r="129" customFormat="false" ht="13.8" hidden="true" customHeight="false" outlineLevel="0" collapsed="false"/>
    <row r="130" customFormat="false" ht="13.8" hidden="true" customHeight="false" outlineLevel="0" collapsed="false"/>
    <row r="131" customFormat="false" ht="16.15" hidden="false" customHeight="false" outlineLevel="0" collapsed="false">
      <c r="A131" s="15" t="s">
        <v>147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</row>
    <row r="132" customFormat="false" ht="13.8" hidden="false" customHeight="false" outlineLevel="0" collapsed="false"/>
    <row r="133" customFormat="false" ht="13.8" hidden="false" customHeight="false" outlineLevel="0" collapsed="false">
      <c r="A133" s="18" t="s">
        <v>148</v>
      </c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customFormat="false" ht="13.8" hidden="false" customHeight="false" outlineLevel="0" collapsed="false">
      <c r="A134" s="3" t="s">
        <v>149</v>
      </c>
      <c r="D134" s="30" t="n">
        <v>46219</v>
      </c>
    </row>
    <row r="135" customFormat="false" ht="13.8" hidden="false" customHeight="false" outlineLevel="0" collapsed="false">
      <c r="A135" s="3" t="s">
        <v>150</v>
      </c>
      <c r="D135" s="4" t="n">
        <v>346.77</v>
      </c>
    </row>
    <row r="136" customFormat="false" ht="13.8" hidden="false" customHeight="false" outlineLevel="0" collapsed="false">
      <c r="A136" s="3" t="s">
        <v>151</v>
      </c>
      <c r="D136" s="4" t="n">
        <v>12.095</v>
      </c>
    </row>
    <row r="137" customFormat="false" ht="13.8" hidden="false" customHeight="false" outlineLevel="0" collapsed="false">
      <c r="A137" s="3" t="s">
        <v>152</v>
      </c>
      <c r="D137" s="22" t="n">
        <f aca="false">D135*D136</f>
        <v>4194.18315</v>
      </c>
    </row>
    <row r="138" customFormat="false" ht="13.8" hidden="false" customHeight="false" outlineLevel="0" collapsed="false">
      <c r="A138" s="3" t="s">
        <v>153</v>
      </c>
      <c r="D138" s="31" t="n">
        <v>0.0432</v>
      </c>
    </row>
    <row r="139" customFormat="false" ht="13.8" hidden="false" customHeight="false" outlineLevel="0" collapsed="false">
      <c r="A139" s="3" t="s">
        <v>154</v>
      </c>
      <c r="D139" s="32" t="n">
        <v>17</v>
      </c>
    </row>
    <row r="140" customFormat="false" ht="13.8" hidden="false" customHeight="false" outlineLevel="0" collapsed="false">
      <c r="A140" s="3" t="s">
        <v>155</v>
      </c>
      <c r="D140" s="4" t="n">
        <v>4194.18</v>
      </c>
    </row>
    <row r="141" customFormat="false" ht="13.8" hidden="false" customHeight="false" outlineLevel="0" collapsed="false">
      <c r="A141" s="3" t="s">
        <v>156</v>
      </c>
      <c r="D141" s="4" t="n">
        <v>12.095</v>
      </c>
    </row>
    <row r="142" customFormat="false" ht="13.8" hidden="false" customHeight="false" outlineLevel="0" collapsed="false"/>
    <row r="143" customFormat="false" ht="13.8" hidden="false" customHeight="false" outlineLevel="0" collapsed="false">
      <c r="A143" s="18" t="s">
        <v>157</v>
      </c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customFormat="false" ht="13.8" hidden="false" customHeight="false" outlineLevel="0" collapsed="false">
      <c r="H144" s="2" t="s">
        <v>158</v>
      </c>
      <c r="S144" s="2" t="s">
        <v>159</v>
      </c>
    </row>
    <row r="145" customFormat="false" ht="13.8" hidden="false" customHeight="false" outlineLevel="0" collapsed="false">
      <c r="A145" s="3" t="s">
        <v>160</v>
      </c>
      <c r="H145" s="33" t="n">
        <v>46219</v>
      </c>
      <c r="I145" s="33" t="n">
        <v>46387</v>
      </c>
      <c r="J145" s="33" t="n">
        <f aca="false">EDATE(I145,12)</f>
        <v>46752</v>
      </c>
      <c r="K145" s="33" t="n">
        <f aca="false">EDATE(J145,12)</f>
        <v>47118</v>
      </c>
      <c r="L145" s="33" t="n">
        <f aca="false">EDATE(K145,12)</f>
        <v>47483</v>
      </c>
      <c r="M145" s="33" t="n">
        <f aca="false">EDATE(L145,12)</f>
        <v>47848</v>
      </c>
      <c r="N145" s="33" t="n">
        <f aca="false">EDATE(M145,12)</f>
        <v>48213</v>
      </c>
      <c r="O145" s="33" t="n">
        <f aca="false">EDATE(N145,12)</f>
        <v>48579</v>
      </c>
      <c r="P145" s="33" t="n">
        <f aca="false">EDATE(O145,12)</f>
        <v>48944</v>
      </c>
      <c r="Q145" s="33" t="n">
        <f aca="false">EDATE(P145,12)</f>
        <v>49309</v>
      </c>
      <c r="R145" s="33" t="n">
        <f aca="false">EDATE(Q145,12)</f>
        <v>49674</v>
      </c>
      <c r="S145" s="33" t="n">
        <f aca="false">R145</f>
        <v>49674</v>
      </c>
    </row>
    <row r="146" customFormat="false" ht="13.8" hidden="false" customHeight="false" outlineLevel="0" collapsed="false">
      <c r="A146" s="1" t="s">
        <v>161</v>
      </c>
      <c r="I146" s="34" t="n">
        <v>0</v>
      </c>
      <c r="J146" s="34" t="n">
        <v>1</v>
      </c>
      <c r="K146" s="34" t="n">
        <v>2</v>
      </c>
      <c r="L146" s="34" t="n">
        <v>3</v>
      </c>
      <c r="M146" s="34" t="n">
        <v>4</v>
      </c>
      <c r="N146" s="34" t="n">
        <v>5</v>
      </c>
      <c r="O146" s="34" t="n">
        <v>6</v>
      </c>
      <c r="P146" s="34" t="n">
        <v>7</v>
      </c>
      <c r="Q146" s="34" t="n">
        <v>8</v>
      </c>
      <c r="R146" s="34" t="n">
        <v>9</v>
      </c>
    </row>
    <row r="147" customFormat="false" ht="13.8" hidden="false" customHeight="false" outlineLevel="0" collapsed="false">
      <c r="A147" s="1" t="s">
        <v>162</v>
      </c>
      <c r="I147" s="35" t="n">
        <f aca="false">YEARFRAC($H$145,I145,1)</f>
        <v>0.46027397260274</v>
      </c>
      <c r="J147" s="35" t="n">
        <f aca="false">YEARFRAC(I145,J145,1)</f>
        <v>1</v>
      </c>
      <c r="K147" s="35" t="n">
        <f aca="false">YEARFRAC(J145,K145,1)</f>
        <v>1</v>
      </c>
      <c r="L147" s="35" t="n">
        <f aca="false">YEARFRAC(K145,L145,1)</f>
        <v>1</v>
      </c>
      <c r="M147" s="35" t="n">
        <f aca="false">YEARFRAC(L145,M145,1)</f>
        <v>1</v>
      </c>
      <c r="N147" s="35" t="n">
        <f aca="false">YEARFRAC(M145,N145,1)</f>
        <v>1</v>
      </c>
      <c r="O147" s="35" t="n">
        <f aca="false">YEARFRAC(N145,O145,1)</f>
        <v>1</v>
      </c>
      <c r="P147" s="35" t="n">
        <f aca="false">YEARFRAC(O145,P145,1)</f>
        <v>1</v>
      </c>
      <c r="Q147" s="35" t="n">
        <f aca="false">YEARFRAC(P145,Q145,1)</f>
        <v>1</v>
      </c>
      <c r="R147" s="35" t="n">
        <f aca="false">YEARFRAC(Q145,R145,1)</f>
        <v>1</v>
      </c>
    </row>
    <row r="148" customFormat="false" ht="13.8" hidden="false" customHeight="false" outlineLevel="0" collapsed="false">
      <c r="A148" s="1" t="s">
        <v>163</v>
      </c>
      <c r="I148" s="35" t="n">
        <f aca="false">I147</f>
        <v>0.46027397260274</v>
      </c>
      <c r="J148" s="35" t="n">
        <f aca="false">I148+J147</f>
        <v>1.46027397260274</v>
      </c>
      <c r="K148" s="35" t="n">
        <f aca="false">J148+K147</f>
        <v>2.46027397260274</v>
      </c>
      <c r="L148" s="35" t="n">
        <f aca="false">K148+L147</f>
        <v>3.46027397260274</v>
      </c>
      <c r="M148" s="35" t="n">
        <f aca="false">L148+M147</f>
        <v>4.46027397260274</v>
      </c>
      <c r="N148" s="35" t="n">
        <f aca="false">M148+N147</f>
        <v>5.46027397260274</v>
      </c>
      <c r="O148" s="35" t="n">
        <f aca="false">N148+O147</f>
        <v>6.46027397260274</v>
      </c>
      <c r="P148" s="35" t="n">
        <f aca="false">O148+P147</f>
        <v>7.46027397260274</v>
      </c>
      <c r="Q148" s="35" t="n">
        <f aca="false">P148+Q147</f>
        <v>8.46027397260274</v>
      </c>
      <c r="R148" s="35" t="n">
        <f aca="false">Q148+R147</f>
        <v>9.46027397260274</v>
      </c>
    </row>
    <row r="149" customFormat="false" ht="13.8" hidden="false" customHeight="false" outlineLevel="0" collapsed="false">
      <c r="A149" s="3" t="s">
        <v>164</v>
      </c>
      <c r="I149" s="31" t="n">
        <v>0.0944</v>
      </c>
      <c r="J149" s="31" t="n">
        <v>0.0935</v>
      </c>
      <c r="K149" s="31" t="n">
        <v>0.0927</v>
      </c>
      <c r="L149" s="31" t="n">
        <v>0.0919</v>
      </c>
      <c r="M149" s="31" t="n">
        <v>0.0911</v>
      </c>
      <c r="N149" s="31" t="n">
        <v>0.0903</v>
      </c>
      <c r="O149" s="31" t="n">
        <v>0.0895</v>
      </c>
      <c r="P149" s="31" t="n">
        <v>0.0887</v>
      </c>
      <c r="Q149" s="31" t="n">
        <v>0.0879</v>
      </c>
      <c r="R149" s="31" t="n">
        <v>0.0871</v>
      </c>
    </row>
    <row r="150" customFormat="false" ht="13.8" hidden="false" customHeight="false" outlineLevel="0" collapsed="false">
      <c r="A150" s="1" t="s">
        <v>165</v>
      </c>
      <c r="I150" s="36" t="n">
        <f aca="false">1/(1+I149)^I147</f>
        <v>0.959330534894265</v>
      </c>
      <c r="J150" s="36" t="n">
        <f aca="false">I150/(1+J149)^J147</f>
        <v>0.87730272967011</v>
      </c>
      <c r="K150" s="36" t="n">
        <f aca="false">J150/(1+K149)^K147</f>
        <v>0.802876113910598</v>
      </c>
      <c r="L150" s="36" t="n">
        <f aca="false">K150/(1+L149)^L147</f>
        <v>0.735301871884419</v>
      </c>
      <c r="M150" s="36" t="n">
        <f aca="false">L150/(1+M149)^M147</f>
        <v>0.673908781857226</v>
      </c>
      <c r="N150" s="36" t="n">
        <f aca="false">M150/(1+N149)^N147</f>
        <v>0.618094819643425</v>
      </c>
      <c r="O150" s="36" t="n">
        <f aca="false">N150/(1+O149)^O147</f>
        <v>0.567319705960005</v>
      </c>
      <c r="P150" s="36" t="n">
        <f aca="false">O150/(1+P149)^P147</f>
        <v>0.521098287829526</v>
      </c>
      <c r="Q150" s="36" t="n">
        <f aca="false">P150/(1+Q149)^Q147</f>
        <v>0.478994657440505</v>
      </c>
      <c r="R150" s="36" t="n">
        <f aca="false">Q150/(1+R149)^R147</f>
        <v>0.440616923411375</v>
      </c>
    </row>
    <row r="151" customFormat="false" ht="13.8" hidden="false" customHeight="false" outlineLevel="0" collapsed="false">
      <c r="A151" s="3" t="s">
        <v>166</v>
      </c>
      <c r="I151" s="22" t="n">
        <f aca="false">I35+I33</f>
        <v>149.770583078</v>
      </c>
      <c r="J151" s="22" t="n">
        <f aca="false">J35+J33</f>
        <v>167.66123261252</v>
      </c>
      <c r="K151" s="22" t="n">
        <f aca="false">K35+K33</f>
        <v>186.5264585291</v>
      </c>
      <c r="L151" s="22" t="n">
        <f aca="false">L35+L33</f>
        <v>205.691036422475</v>
      </c>
      <c r="M151" s="22" t="n">
        <f aca="false">M35+M33</f>
        <v>225.675531038496</v>
      </c>
      <c r="N151" s="22" t="n">
        <f aca="false">N35+N33</f>
        <v>245.795405604682</v>
      </c>
      <c r="O151" s="22" t="n">
        <f aca="false">O35+O33</f>
        <v>265.66021468037</v>
      </c>
      <c r="P151" s="22" t="n">
        <f aca="false">P35+P33</f>
        <v>283.794528281789</v>
      </c>
      <c r="Q151" s="22" t="n">
        <f aca="false">Q35+Q33</f>
        <v>300.200189696447</v>
      </c>
      <c r="R151" s="22" t="n">
        <f aca="false">R35+R33</f>
        <v>314.390105250822</v>
      </c>
    </row>
    <row r="152" customFormat="false" ht="13.8" hidden="false" customHeight="false" outlineLevel="0" collapsed="false">
      <c r="A152" s="3" t="s">
        <v>167</v>
      </c>
      <c r="I152" s="22" t="n">
        <f aca="false">-MAX(I151,0)*I14</f>
        <v>-25.46099912326</v>
      </c>
      <c r="J152" s="22" t="n">
        <f aca="false">-MAX(J151,0)*J14</f>
        <v>-28.5024095441284</v>
      </c>
      <c r="K152" s="22" t="n">
        <f aca="false">-MAX(K151,0)*K14</f>
        <v>-31.709497949947</v>
      </c>
      <c r="L152" s="22" t="n">
        <f aca="false">-MAX(L151,0)*L14</f>
        <v>-34.9674761918208</v>
      </c>
      <c r="M152" s="22" t="n">
        <f aca="false">-MAX(M151,0)*M14</f>
        <v>-38.3648402765443</v>
      </c>
      <c r="N152" s="22" t="n">
        <f aca="false">-MAX(N151,0)*N14</f>
        <v>-41.7852189527959</v>
      </c>
      <c r="O152" s="22" t="n">
        <f aca="false">-MAX(O151,0)*O14</f>
        <v>-45.1622364956629</v>
      </c>
      <c r="P152" s="22" t="n">
        <f aca="false">-MAX(P151,0)*P14</f>
        <v>-48.2450698079041</v>
      </c>
      <c r="Q152" s="22" t="n">
        <f aca="false">-MAX(Q151,0)*Q14</f>
        <v>-51.0340322483959</v>
      </c>
      <c r="R152" s="22" t="n">
        <f aca="false">-MAX(R151,0)*R14</f>
        <v>-53.4463178926397</v>
      </c>
    </row>
    <row r="153" customFormat="false" ht="13.8" hidden="false" customHeight="false" outlineLevel="0" collapsed="false">
      <c r="A153" s="3" t="s">
        <v>168</v>
      </c>
      <c r="I153" s="22" t="n">
        <f aca="false">I32</f>
        <v>21.896225</v>
      </c>
      <c r="J153" s="22" t="n">
        <f aca="false">J32</f>
        <v>26.647970375</v>
      </c>
      <c r="K153" s="22" t="n">
        <f aca="false">K32</f>
        <v>31.415852300625</v>
      </c>
      <c r="L153" s="22" t="n">
        <f aca="false">L32</f>
        <v>35.8738219010844</v>
      </c>
      <c r="M153" s="22" t="n">
        <f aca="false">M32</f>
        <v>39.7170234775139</v>
      </c>
      <c r="N153" s="22" t="n">
        <f aca="false">N32</f>
        <v>42.9854169514755</v>
      </c>
      <c r="O153" s="22" t="n">
        <f aca="false">O32</f>
        <v>45.7163648496296</v>
      </c>
      <c r="P153" s="22" t="n">
        <f aca="false">P32</f>
        <v>47.9448011344037</v>
      </c>
      <c r="Q153" s="22" t="n">
        <f aca="false">Q32</f>
        <v>49.8983890606674</v>
      </c>
      <c r="R153" s="22" t="n">
        <f aca="false">R32</f>
        <v>51.594993771724</v>
      </c>
    </row>
    <row r="154" customFormat="false" ht="13.8" hidden="false" customHeight="false" outlineLevel="0" collapsed="false">
      <c r="A154" s="3" t="s">
        <v>169</v>
      </c>
      <c r="I154" s="22" t="n">
        <f aca="false">-I97</f>
        <v>-95</v>
      </c>
      <c r="J154" s="22" t="n">
        <f aca="false">-J97</f>
        <v>-100</v>
      </c>
      <c r="K154" s="22" t="n">
        <f aca="false">-K97</f>
        <v>-100</v>
      </c>
      <c r="L154" s="22" t="n">
        <f aca="false">-L97</f>
        <v>-95</v>
      </c>
      <c r="M154" s="22" t="n">
        <f aca="false">-M97</f>
        <v>-90</v>
      </c>
      <c r="N154" s="22" t="n">
        <f aca="false">-N97</f>
        <v>-85</v>
      </c>
      <c r="O154" s="22" t="n">
        <f aca="false">-O97</f>
        <v>-80</v>
      </c>
      <c r="P154" s="22" t="n">
        <f aca="false">-P97</f>
        <v>-78</v>
      </c>
      <c r="Q154" s="22" t="n">
        <f aca="false">-Q97</f>
        <v>-76</v>
      </c>
      <c r="R154" s="22" t="n">
        <f aca="false">-R97</f>
        <v>-75</v>
      </c>
    </row>
    <row r="155" customFormat="false" ht="13.8" hidden="false" customHeight="false" outlineLevel="0" collapsed="false">
      <c r="A155" s="3" t="s">
        <v>170</v>
      </c>
      <c r="I155" s="22" t="n">
        <f aca="false">-I93</f>
        <v>3.01547865260273</v>
      </c>
      <c r="J155" s="22" t="n">
        <f aca="false">-J93</f>
        <v>7.30253743831236</v>
      </c>
      <c r="K155" s="22" t="n">
        <f aca="false">-K93</f>
        <v>7.49727177000065</v>
      </c>
      <c r="L155" s="22" t="n">
        <f aca="false">-L93</f>
        <v>7.5654287860916</v>
      </c>
      <c r="M155" s="22" t="n">
        <f aca="false">-M93</f>
        <v>7.48977449823065</v>
      </c>
      <c r="N155" s="22" t="n">
        <f aca="false">-N93</f>
        <v>7.25675929161906</v>
      </c>
      <c r="O155" s="22" t="n">
        <f aca="false">-O93</f>
        <v>6.85763753057998</v>
      </c>
      <c r="P155" s="22" t="n">
        <f aca="false">-P93</f>
        <v>6.28943327804628</v>
      </c>
      <c r="Q155" s="22" t="n">
        <f aca="false">-Q93</f>
        <v>5.55566606227413</v>
      </c>
      <c r="R155" s="22" t="n">
        <f aca="false">-R93</f>
        <v>5.01676645423356</v>
      </c>
    </row>
    <row r="156" customFormat="false" ht="13.8" hidden="false" customHeight="false" outlineLevel="0" collapsed="false">
      <c r="A156" s="2" t="s">
        <v>171</v>
      </c>
      <c r="I156" s="26" t="n">
        <f aca="false">SUM(I151:I155)</f>
        <v>54.2212876073427</v>
      </c>
      <c r="J156" s="26" t="n">
        <f aca="false">SUM(J151:J155)</f>
        <v>73.1093308817039</v>
      </c>
      <c r="K156" s="26" t="n">
        <f aca="false">SUM(K151:K155)</f>
        <v>93.7300846497786</v>
      </c>
      <c r="L156" s="26" t="n">
        <f aca="false">SUM(L151:L155)</f>
        <v>119.16281091783</v>
      </c>
      <c r="M156" s="26" t="n">
        <f aca="false">SUM(M151:M155)</f>
        <v>144.517488737696</v>
      </c>
      <c r="N156" s="26" t="n">
        <f aca="false">SUM(N151:N155)</f>
        <v>169.25236289498</v>
      </c>
      <c r="O156" s="26" t="n">
        <f aca="false">SUM(O151:O155)</f>
        <v>193.071980564917</v>
      </c>
      <c r="P156" s="26" t="n">
        <f aca="false">SUM(P151:P155)</f>
        <v>211.783692886334</v>
      </c>
      <c r="Q156" s="26" t="n">
        <f aca="false">SUM(Q151:Q155)</f>
        <v>228.620212570992</v>
      </c>
      <c r="R156" s="26" t="n">
        <f aca="false">SUM(R151:R155)</f>
        <v>242.55554758414</v>
      </c>
    </row>
    <row r="157" customFormat="false" ht="13.8" hidden="false" customHeight="false" outlineLevel="0" collapsed="false">
      <c r="A157" s="3" t="s">
        <v>172</v>
      </c>
      <c r="H157" s="22" t="n">
        <f aca="false">-($D$140+$H$52-$H$44)</f>
        <v>-4057.941</v>
      </c>
      <c r="S157" s="22" t="n">
        <f aca="false">$D$164</f>
        <v>5992.80895945672</v>
      </c>
    </row>
    <row r="158" customFormat="false" ht="13.8" hidden="false" customHeight="false" outlineLevel="0" collapsed="false">
      <c r="A158" s="3" t="s">
        <v>173</v>
      </c>
      <c r="H158" s="29" t="n">
        <v>0</v>
      </c>
      <c r="I158" s="29" t="n">
        <f aca="false">I156*I147</f>
        <v>24.9566474466673</v>
      </c>
      <c r="J158" s="29" t="n">
        <f aca="false">J156*J147</f>
        <v>73.1093308817039</v>
      </c>
      <c r="K158" s="29" t="n">
        <f aca="false">K156*K147</f>
        <v>93.7300846497786</v>
      </c>
      <c r="L158" s="29" t="n">
        <f aca="false">L156*L147</f>
        <v>119.16281091783</v>
      </c>
      <c r="M158" s="29" t="n">
        <f aca="false">M156*M147</f>
        <v>144.517488737696</v>
      </c>
      <c r="N158" s="29" t="n">
        <f aca="false">N156*N147</f>
        <v>169.25236289498</v>
      </c>
      <c r="O158" s="29" t="n">
        <f aca="false">O156*O147</f>
        <v>193.071980564917</v>
      </c>
      <c r="P158" s="29" t="n">
        <f aca="false">P156*P147</f>
        <v>211.783692886334</v>
      </c>
      <c r="Q158" s="29" t="n">
        <f aca="false">Q156*Q147</f>
        <v>228.620212570992</v>
      </c>
      <c r="R158" s="29" t="n">
        <f aca="false">R156*R147</f>
        <v>242.55554758414</v>
      </c>
      <c r="S158" s="29" t="n">
        <f aca="false">S157</f>
        <v>5992.80895945672</v>
      </c>
    </row>
    <row r="159" customFormat="false" ht="13.8" hidden="false" customHeight="false" outlineLevel="0" collapsed="false">
      <c r="A159" s="3" t="s">
        <v>173</v>
      </c>
      <c r="H159" s="22" t="n">
        <f aca="false">H157</f>
        <v>-4057.941</v>
      </c>
      <c r="I159" s="22" t="n">
        <f aca="false">I158</f>
        <v>24.9566474466673</v>
      </c>
      <c r="J159" s="22" t="n">
        <f aca="false">J158</f>
        <v>73.1093308817039</v>
      </c>
      <c r="K159" s="22" t="n">
        <f aca="false">K158</f>
        <v>93.7300846497786</v>
      </c>
      <c r="L159" s="22" t="n">
        <f aca="false">L158</f>
        <v>119.16281091783</v>
      </c>
      <c r="M159" s="22" t="n">
        <f aca="false">M158</f>
        <v>144.517488737696</v>
      </c>
      <c r="N159" s="22" t="n">
        <f aca="false">N158</f>
        <v>169.25236289498</v>
      </c>
      <c r="O159" s="22" t="n">
        <f aca="false">O158</f>
        <v>193.071980564917</v>
      </c>
      <c r="P159" s="22" t="n">
        <f aca="false">P158</f>
        <v>211.783692886334</v>
      </c>
      <c r="Q159" s="22" t="n">
        <f aca="false">Q158</f>
        <v>228.620212570992</v>
      </c>
      <c r="R159" s="22" t="n">
        <f aca="false">R158</f>
        <v>242.55554758414</v>
      </c>
      <c r="S159" s="22" t="n">
        <f aca="false">S158</f>
        <v>5992.80895945672</v>
      </c>
    </row>
    <row r="160" customFormat="false" ht="13.8" hidden="false" customHeight="false" outlineLevel="0" collapsed="false"/>
    <row r="161" customFormat="false" ht="13.8" hidden="false" customHeight="false" outlineLevel="0" collapsed="false">
      <c r="A161" s="18" t="s">
        <v>174</v>
      </c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</row>
    <row r="162" customFormat="false" ht="13.8" hidden="false" customHeight="false" outlineLevel="0" collapsed="false">
      <c r="A162" s="3" t="s">
        <v>175</v>
      </c>
      <c r="D162" s="22" t="n">
        <f aca="false">R156*(1+$D$138)/(R149-$D$138)</f>
        <v>5763.87123553017</v>
      </c>
    </row>
    <row r="163" customFormat="false" ht="13.8" hidden="false" customHeight="false" outlineLevel="0" collapsed="false">
      <c r="A163" s="3" t="s">
        <v>176</v>
      </c>
      <c r="D163" s="37" t="n">
        <f aca="false">$D$139*(R151+R153)</f>
        <v>6221.74668338328</v>
      </c>
    </row>
    <row r="164" customFormat="false" ht="13.8" hidden="false" customHeight="false" outlineLevel="0" collapsed="false">
      <c r="A164" s="2" t="s">
        <v>177</v>
      </c>
      <c r="D164" s="25" t="n">
        <f aca="false">AVERAGE(D162:D163)</f>
        <v>5992.80895945672</v>
      </c>
    </row>
    <row r="165" customFormat="false" ht="13.8" hidden="false" customHeight="false" outlineLevel="0" collapsed="false">
      <c r="A165" s="3" t="s">
        <v>178</v>
      </c>
      <c r="D165" s="38" t="n">
        <f aca="false">D162/(R151+R153)</f>
        <v>15.7489232510395</v>
      </c>
      <c r="E165" s="38" t="n">
        <f aca="false">$D$139</f>
        <v>17</v>
      </c>
      <c r="F165" s="1" t="s">
        <v>179</v>
      </c>
    </row>
    <row r="166" customFormat="false" ht="13.8" hidden="false" customHeight="false" outlineLevel="0" collapsed="false">
      <c r="A166" s="18" t="s">
        <v>180</v>
      </c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</row>
    <row r="167" customFormat="false" ht="13.8" hidden="false" customHeight="false" outlineLevel="0" collapsed="false">
      <c r="A167" s="3" t="s">
        <v>181</v>
      </c>
      <c r="D167" s="22" t="n">
        <f aca="false">SUMPRODUCT(I158:R158,I150:R150)+S158*R150</f>
        <v>3529.76923188988</v>
      </c>
    </row>
    <row r="168" customFormat="false" ht="13.8" hidden="false" customHeight="false" outlineLevel="0" collapsed="false">
      <c r="A168" s="3" t="s">
        <v>182</v>
      </c>
      <c r="D168" s="22" t="n">
        <f aca="false">H44</f>
        <v>195.53</v>
      </c>
    </row>
    <row r="169" customFormat="false" ht="13.8" hidden="false" customHeight="false" outlineLevel="0" collapsed="false">
      <c r="A169" s="3" t="s">
        <v>183</v>
      </c>
      <c r="D169" s="37" t="n">
        <f aca="false">H52</f>
        <v>59.291</v>
      </c>
    </row>
    <row r="170" customFormat="false" ht="13.8" hidden="false" customHeight="false" outlineLevel="0" collapsed="false">
      <c r="A170" s="2" t="s">
        <v>184</v>
      </c>
      <c r="D170" s="25" t="n">
        <f aca="false">D167+D168-D169</f>
        <v>3666.00823188988</v>
      </c>
    </row>
    <row r="171" customFormat="false" ht="13.8" hidden="false" customHeight="false" outlineLevel="0" collapsed="false">
      <c r="A171" s="2" t="s">
        <v>185</v>
      </c>
      <c r="D171" s="25" t="n">
        <f aca="false">D170/$D$136</f>
        <v>303.101135336079</v>
      </c>
    </row>
    <row r="172" customFormat="false" ht="13.8" hidden="false" customHeight="false" outlineLevel="0" collapsed="false"/>
    <row r="173" customFormat="false" ht="13.8" hidden="false" customHeight="false" outlineLevel="0" collapsed="false">
      <c r="A173" s="18" t="s">
        <v>186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</row>
    <row r="174" customFormat="false" ht="13.8" hidden="false" customHeight="false" outlineLevel="0" collapsed="false">
      <c r="A174" s="3" t="s">
        <v>187</v>
      </c>
      <c r="D174" s="22" t="n">
        <f aca="false">$D$137</f>
        <v>4194.18315</v>
      </c>
    </row>
    <row r="175" customFormat="false" ht="13.8" hidden="false" customHeight="false" outlineLevel="0" collapsed="false">
      <c r="A175" s="3" t="s">
        <v>188</v>
      </c>
      <c r="D175" s="22" t="n">
        <f aca="false">H52</f>
        <v>59.291</v>
      </c>
    </row>
    <row r="176" customFormat="false" ht="13.8" hidden="false" customHeight="false" outlineLevel="0" collapsed="false">
      <c r="A176" s="3" t="s">
        <v>189</v>
      </c>
      <c r="D176" s="37" t="n">
        <f aca="false">H44</f>
        <v>195.53</v>
      </c>
    </row>
    <row r="177" customFormat="false" ht="13.8" hidden="false" customHeight="false" outlineLevel="0" collapsed="false">
      <c r="A177" s="2" t="s">
        <v>190</v>
      </c>
      <c r="D177" s="25" t="n">
        <f aca="false">D174+D175-D176</f>
        <v>4057.94415</v>
      </c>
    </row>
    <row r="178" customFormat="false" ht="13.8" hidden="false" customHeight="false" outlineLevel="0" collapsed="false">
      <c r="A178" s="2" t="s">
        <v>150</v>
      </c>
      <c r="D178" s="25" t="n">
        <f aca="false">$D$135</f>
        <v>346.77</v>
      </c>
    </row>
    <row r="179" customFormat="false" ht="13.8" hidden="false" customHeight="false" outlineLevel="0" collapsed="false"/>
    <row r="180" customFormat="false" ht="13.8" hidden="false" customHeight="false" outlineLevel="0" collapsed="false">
      <c r="A180" s="18" t="s">
        <v>191</v>
      </c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</row>
    <row r="181" customFormat="false" ht="13.8" hidden="false" customHeight="false" outlineLevel="0" collapsed="false">
      <c r="A181" s="3" t="s">
        <v>192</v>
      </c>
      <c r="D181" s="39" t="n">
        <f aca="false">D171/$D$135-1</f>
        <v>-0.125930341909394</v>
      </c>
    </row>
    <row r="182" customFormat="false" ht="13.8" hidden="false" customHeight="false" outlineLevel="0" collapsed="false">
      <c r="A182" s="3" t="s">
        <v>193</v>
      </c>
      <c r="D182" s="39" t="n">
        <f aca="false">XIRR(H159:S159,H145:S145)</f>
        <v>0.0729689429917692</v>
      </c>
    </row>
    <row r="183" customFormat="false" ht="13.8" hidden="false" customHeight="false" outlineLevel="0" collapsed="false">
      <c r="A183" s="2" t="s">
        <v>194</v>
      </c>
      <c r="D183" s="40" t="n">
        <f aca="false">(($D$171/$D$135)^(1/10))*(1+AVERAGE(I149:R149))-1</f>
        <v>0.0761279203075078</v>
      </c>
      <c r="E183" s="1" t="s">
        <v>195</v>
      </c>
    </row>
    <row r="184" customFormat="false" ht="13.8" hidden="false" customHeight="false" outlineLevel="0" collapsed="false">
      <c r="A184" s="18" t="s">
        <v>196</v>
      </c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</row>
    <row r="185" customFormat="false" ht="13.8" hidden="false" customHeight="false" outlineLevel="0" collapsed="false">
      <c r="A185" s="1" t="s">
        <v>197</v>
      </c>
      <c r="I185" s="34" t="n">
        <f aca="false">YEAR(I145)</f>
        <v>2026</v>
      </c>
      <c r="J185" s="34" t="n">
        <f aca="false">YEAR(J145)</f>
        <v>2027</v>
      </c>
      <c r="K185" s="34" t="n">
        <f aca="false">YEAR(K145)</f>
        <v>2028</v>
      </c>
      <c r="L185" s="34" t="n">
        <f aca="false">YEAR(L145)</f>
        <v>2029</v>
      </c>
      <c r="M185" s="34" t="n">
        <f aca="false">YEAR(M145)</f>
        <v>2030</v>
      </c>
      <c r="N185" s="34" t="n">
        <f aca="false">YEAR(N145)</f>
        <v>2031</v>
      </c>
      <c r="O185" s="34" t="n">
        <f aca="false">YEAR(O145)</f>
        <v>2032</v>
      </c>
      <c r="P185" s="34" t="n">
        <f aca="false">YEAR(P145)</f>
        <v>2033</v>
      </c>
      <c r="Q185" s="34" t="n">
        <f aca="false">YEAR(Q145)</f>
        <v>2034</v>
      </c>
      <c r="R185" s="34" t="n">
        <f aca="false">YEAR(R145)</f>
        <v>2035</v>
      </c>
    </row>
    <row r="186" customFormat="false" ht="13.8" hidden="false" customHeight="false" outlineLevel="0" collapsed="false">
      <c r="A186" s="3" t="s">
        <v>198</v>
      </c>
      <c r="I186" s="22" t="n">
        <f aca="false">$D$167*(1+I149)^I147-I158</f>
        <v>3654.45217307933</v>
      </c>
      <c r="J186" s="22" t="n">
        <f aca="false">I186*(1+J149)^J147-J158</f>
        <v>3923.03412038054</v>
      </c>
      <c r="K186" s="22" t="n">
        <f aca="false">J186*(1+K149)^K147-K158</f>
        <v>4192.96929869004</v>
      </c>
      <c r="L186" s="22" t="n">
        <f aca="false">K186*(1+L149)^L147-L158</f>
        <v>4459.14036632182</v>
      </c>
      <c r="M186" s="22" t="n">
        <f aca="false">L186*(1+M149)^M147-M158</f>
        <v>4720.85056495605</v>
      </c>
      <c r="N186" s="22" t="n">
        <f aca="false">M186*(1+N149)^N147-N158</f>
        <v>4977.8910080766</v>
      </c>
      <c r="O186" s="22" t="n">
        <f aca="false">N186*(1+O149)^O147-O158</f>
        <v>5230.34027273454</v>
      </c>
      <c r="P186" s="22" t="n">
        <f aca="false">O186*(1+P149)^P147-P158</f>
        <v>5482.48776203976</v>
      </c>
      <c r="Q186" s="22" t="n">
        <f aca="false">P186*(1+Q149)^Q147-Q158</f>
        <v>5735.77822375206</v>
      </c>
      <c r="R186" s="22" t="n">
        <f aca="false">Q186*(1+R149)^R147-R158</f>
        <v>5992.80895945672</v>
      </c>
    </row>
    <row r="187" customFormat="false" ht="13.8" hidden="false" customHeight="false" outlineLevel="0" collapsed="false">
      <c r="A187" s="2" t="s">
        <v>199</v>
      </c>
      <c r="I187" s="25" t="n">
        <f aca="false">I186+$H$44-$H$52</f>
        <v>3790.69117307933</v>
      </c>
      <c r="J187" s="25" t="n">
        <f aca="false">J186+$H$44-$H$52</f>
        <v>4059.27312038054</v>
      </c>
      <c r="K187" s="25" t="n">
        <f aca="false">K186+$H$44-$H$52</f>
        <v>4329.20829869004</v>
      </c>
      <c r="L187" s="25" t="n">
        <f aca="false">L186+$H$44-$H$52</f>
        <v>4595.37936632182</v>
      </c>
      <c r="M187" s="25" t="n">
        <f aca="false">M186+$H$44-$H$52</f>
        <v>4857.08956495605</v>
      </c>
      <c r="N187" s="25" t="n">
        <f aca="false">N186+$H$44-$H$52</f>
        <v>5114.1300080766</v>
      </c>
      <c r="O187" s="25" t="n">
        <f aca="false">O186+$H$44-$H$52</f>
        <v>5366.57927273454</v>
      </c>
      <c r="P187" s="25" t="n">
        <f aca="false">P186+$H$44-$H$52</f>
        <v>5618.72676203975</v>
      </c>
      <c r="Q187" s="25" t="n">
        <f aca="false">Q186+$H$44-$H$52</f>
        <v>5872.01722375206</v>
      </c>
      <c r="R187" s="25" t="n">
        <f aca="false">R186+$H$44-$H$52</f>
        <v>6129.04795945672</v>
      </c>
    </row>
    <row r="188" customFormat="false" ht="13.8" hidden="false" customHeight="false" outlineLevel="0" collapsed="false">
      <c r="A188" s="3" t="s">
        <v>200</v>
      </c>
      <c r="I188" s="22" t="n">
        <f aca="false">I187/$D$136</f>
        <v>313.409770407551</v>
      </c>
      <c r="J188" s="22" t="n">
        <f aca="false">J187/$D$136</f>
        <v>335.61580160236</v>
      </c>
      <c r="K188" s="22" t="n">
        <f aca="false">K187/$D$136</f>
        <v>357.933716303434</v>
      </c>
      <c r="L188" s="22" t="n">
        <f aca="false">L187/$D$136</f>
        <v>379.940418877373</v>
      </c>
      <c r="M188" s="22" t="n">
        <f aca="false">M187/$D$136</f>
        <v>401.578302187354</v>
      </c>
      <c r="N188" s="22" t="n">
        <f aca="false">N187/$D$136</f>
        <v>422.830095748375</v>
      </c>
      <c r="O188" s="22" t="n">
        <f aca="false">O187/$D$136</f>
        <v>443.702296216167</v>
      </c>
      <c r="P188" s="22" t="n">
        <f aca="false">P187/$D$136</f>
        <v>464.549546262071</v>
      </c>
      <c r="Q188" s="22" t="n">
        <f aca="false">Q187/$D$136</f>
        <v>485.4912958869</v>
      </c>
      <c r="R188" s="22" t="n">
        <f aca="false">R187/$D$136</f>
        <v>506.742286850494</v>
      </c>
    </row>
    <row r="189" customFormat="false" ht="13.8" hidden="false" customHeight="false" outlineLevel="0" collapsed="false">
      <c r="A189" s="1" t="s">
        <v>201</v>
      </c>
    </row>
    <row r="190" customFormat="false" ht="13.8" hidden="false" customHeight="false" outlineLevel="0" collapsed="false">
      <c r="A190" s="1" t="s">
        <v>202</v>
      </c>
    </row>
    <row r="191" customFormat="false" ht="13.8" hidden="false" customHeight="false" outlineLevel="0" collapsed="false">
      <c r="A191" s="14" t="s">
        <v>203</v>
      </c>
    </row>
    <row r="192" customFormat="false" ht="13.8" hidden="false" customHeight="false" outlineLevel="0" collapsed="false">
      <c r="A192" s="1" t="s">
        <v>204</v>
      </c>
    </row>
    <row r="193" customFormat="false" ht="13.8" hidden="false" customHeight="false" outlineLevel="0" collapsed="false"/>
    <row r="194" customFormat="false" ht="13.8" hidden="false" customHeight="false" outlineLevel="0" collapsed="false"/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3.8" hidden="false" customHeight="false" outlineLevel="0" collapsed="false"/>
    <row r="198" customFormat="false" ht="13.8" hidden="false" customHeight="false" outlineLevel="0" collapsed="false"/>
    <row r="199" customFormat="false" ht="13.8" hidden="false" customHeight="false" outlineLevel="0" collapsed="false"/>
    <row r="200" customFormat="false" ht="16.15" hidden="false" customHeight="false" outlineLevel="0" collapsed="false">
      <c r="A200" s="15" t="s">
        <v>205</v>
      </c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</row>
    <row r="201" customFormat="false" ht="13.8" hidden="false" customHeight="false" outlineLevel="0" collapsed="false">
      <c r="A201" s="1" t="s">
        <v>206</v>
      </c>
    </row>
    <row r="202" customFormat="false" ht="15" hidden="false" customHeight="false" outlineLevel="0" collapsed="false">
      <c r="A202" s="2" t="s">
        <v>207</v>
      </c>
      <c r="I202" s="25" t="n">
        <f aca="false">I38/$D$136</f>
        <v>10.1557038490897</v>
      </c>
      <c r="J202" s="25" t="n">
        <f aca="false">J38/$D$136</f>
        <v>11.3834210143358</v>
      </c>
      <c r="K202" s="25" t="n">
        <f aca="false">K38/$D$136</f>
        <v>12.6780169226253</v>
      </c>
      <c r="L202" s="25" t="n">
        <f aca="false">L38/$D$136</f>
        <v>13.9931553807899</v>
      </c>
      <c r="M202" s="25" t="n">
        <f aca="false">M38/$D$136</f>
        <v>15.3645593106202</v>
      </c>
      <c r="N202" s="25" t="n">
        <f aca="false">N38/$D$136</f>
        <v>16.7452534726652</v>
      </c>
      <c r="O202" s="25" t="n">
        <f aca="false">O38/$D$136</f>
        <v>18.1084441740147</v>
      </c>
      <c r="P202" s="25" t="n">
        <f aca="false">P38/$D$136</f>
        <v>19.3528823955258</v>
      </c>
      <c r="Q202" s="25" t="n">
        <f aca="false">Q38/$D$136</f>
        <v>20.4786946298512</v>
      </c>
      <c r="R202" s="25" t="n">
        <f aca="false">R38/$D$136</f>
        <v>21.4524548539216</v>
      </c>
    </row>
    <row r="203" customFormat="false" ht="15" hidden="false" customHeight="false" outlineLevel="0" collapsed="false">
      <c r="A203" s="3" t="s">
        <v>208</v>
      </c>
      <c r="I203" s="22" t="n">
        <f aca="false">I38/I204</f>
        <v>10.328077200025</v>
      </c>
      <c r="J203" s="22" t="n">
        <f aca="false">J38/J204</f>
        <v>11.7765159691128</v>
      </c>
      <c r="K203" s="22" t="n">
        <f aca="false">K38/K204</f>
        <v>13.3462551670823</v>
      </c>
      <c r="L203" s="22" t="n">
        <f aca="false">L38/L204</f>
        <v>14.9941518483725</v>
      </c>
      <c r="M203" s="22" t="n">
        <f aca="false">M38/M204</f>
        <v>16.7634509733957</v>
      </c>
      <c r="N203" s="22" t="n">
        <f aca="false">N38/N204</f>
        <v>18.6087047623885</v>
      </c>
      <c r="O203" s="22" t="n">
        <f aca="false">O38/O204</f>
        <v>20.5038812477099</v>
      </c>
      <c r="P203" s="22" t="n">
        <f aca="false">P38/P204</f>
        <v>22.3350144714765</v>
      </c>
      <c r="Q203" s="22" t="n">
        <f aca="false">Q38/Q204</f>
        <v>24.0984798860624</v>
      </c>
      <c r="R203" s="22" t="n">
        <f aca="false">R38/R204</f>
        <v>25.7500883073212</v>
      </c>
    </row>
    <row r="204" customFormat="false" ht="15" hidden="false" customHeight="false" outlineLevel="0" collapsed="false">
      <c r="A204" s="1" t="s">
        <v>209</v>
      </c>
      <c r="I204" s="41" t="n">
        <f aca="false">$D$136+I77/$D$135</f>
        <v>11.8931370937509</v>
      </c>
      <c r="J204" s="41" t="n">
        <f aca="false">I204+J77/$D$135</f>
        <v>11.6912741875018</v>
      </c>
      <c r="K204" s="41" t="n">
        <f aca="false">J204+K77/$D$135</f>
        <v>11.4894112812527</v>
      </c>
      <c r="L204" s="41" t="n">
        <f aca="false">K204+L77/$D$135</f>
        <v>11.2875483750036</v>
      </c>
      <c r="M204" s="41" t="n">
        <f aca="false">L204+M77/$D$135</f>
        <v>11.0856854687545</v>
      </c>
      <c r="N204" s="41" t="n">
        <f aca="false">M204+N77/$D$135</f>
        <v>10.8838225625054</v>
      </c>
      <c r="O204" s="41" t="n">
        <f aca="false">N204+O77/$D$135</f>
        <v>10.6819596562563</v>
      </c>
      <c r="P204" s="41" t="n">
        <f aca="false">O204+P77/$D$135</f>
        <v>10.4800967500072</v>
      </c>
      <c r="Q204" s="41" t="n">
        <f aca="false">P204+Q77/$D$135</f>
        <v>10.2782338437581</v>
      </c>
      <c r="R204" s="41" t="n">
        <f aca="false">Q204+R77/$D$135</f>
        <v>10.076370937509</v>
      </c>
    </row>
    <row r="205" customFormat="false" ht="15" hidden="false" customHeight="false" outlineLevel="0" collapsed="false"/>
    <row r="206" customFormat="false" ht="16.15" hidden="false" customHeight="false" outlineLevel="0" collapsed="false">
      <c r="A206" s="42" t="s">
        <v>210</v>
      </c>
    </row>
    <row r="207" customFormat="false" ht="15" hidden="false" customHeight="false" outlineLevel="0" collapsed="false">
      <c r="A207" s="3" t="s">
        <v>211</v>
      </c>
      <c r="D207" s="31" t="n">
        <v>0.09</v>
      </c>
      <c r="E207" s="1" t="s">
        <v>212</v>
      </c>
    </row>
    <row r="208" customFormat="false" ht="15" hidden="false" customHeight="false" outlineLevel="0" collapsed="false">
      <c r="A208" s="2" t="s">
        <v>213</v>
      </c>
      <c r="D208" s="2" t="s">
        <v>214</v>
      </c>
      <c r="E208" s="2" t="s">
        <v>215</v>
      </c>
      <c r="F208" s="2" t="s">
        <v>216</v>
      </c>
      <c r="G208" s="2" t="s">
        <v>217</v>
      </c>
      <c r="H208" s="2" t="s">
        <v>218</v>
      </c>
      <c r="I208" s="2" t="s">
        <v>219</v>
      </c>
    </row>
    <row r="209" customFormat="false" ht="15" hidden="false" customHeight="false" outlineLevel="0" collapsed="false">
      <c r="A209" s="3" t="s">
        <v>220</v>
      </c>
      <c r="D209" s="4" t="n">
        <v>14.5</v>
      </c>
      <c r="E209" s="32" t="n">
        <v>18</v>
      </c>
      <c r="F209" s="22" t="n">
        <f aca="false">D209*E209</f>
        <v>261</v>
      </c>
      <c r="G209" s="22" t="n">
        <f aca="false">F209/(1+$D$207)^K148</f>
        <v>211.135406420653</v>
      </c>
      <c r="H209" s="21" t="n">
        <v>0.2</v>
      </c>
      <c r="I209" s="41" t="n">
        <f aca="false">G209*H209</f>
        <v>42.2270812841307</v>
      </c>
    </row>
    <row r="210" customFormat="false" ht="15" hidden="false" customHeight="false" outlineLevel="0" collapsed="false">
      <c r="A210" s="2" t="s">
        <v>221</v>
      </c>
      <c r="D210" s="4" t="n">
        <v>17.31</v>
      </c>
      <c r="E210" s="32" t="n">
        <v>22</v>
      </c>
      <c r="F210" s="22" t="n">
        <f aca="false">D210*E210</f>
        <v>380.82</v>
      </c>
      <c r="G210" s="22" t="n">
        <f aca="false">F210/(1+$D$207)^K148</f>
        <v>308.063545873997</v>
      </c>
      <c r="H210" s="21" t="n">
        <v>0.45</v>
      </c>
      <c r="I210" s="41" t="n">
        <f aca="false">G210*H210</f>
        <v>138.628595643299</v>
      </c>
    </row>
    <row r="211" customFormat="false" ht="15" hidden="false" customHeight="false" outlineLevel="0" collapsed="false">
      <c r="A211" s="3" t="s">
        <v>222</v>
      </c>
      <c r="D211" s="4" t="n">
        <v>20.11</v>
      </c>
      <c r="E211" s="32" t="n">
        <v>26</v>
      </c>
      <c r="F211" s="22" t="n">
        <f aca="false">D211*E211</f>
        <v>522.86</v>
      </c>
      <c r="G211" s="22" t="n">
        <f aca="false">F211/(1+$D$207)^K148</f>
        <v>422.966508050203</v>
      </c>
      <c r="H211" s="21" t="n">
        <v>0.3</v>
      </c>
      <c r="I211" s="41" t="n">
        <f aca="false">G211*H211</f>
        <v>126.889952415061</v>
      </c>
    </row>
    <row r="212" customFormat="false" ht="15" hidden="false" customHeight="false" outlineLevel="0" collapsed="false">
      <c r="A212" s="3" t="s">
        <v>223</v>
      </c>
      <c r="D212" s="4" t="n">
        <v>22</v>
      </c>
      <c r="E212" s="32" t="n">
        <v>30</v>
      </c>
      <c r="F212" s="22" t="n">
        <f aca="false">D212*E212</f>
        <v>660</v>
      </c>
      <c r="G212" s="22" t="n">
        <f aca="false">F212/(1+$D$207)^K148</f>
        <v>533.905625431537</v>
      </c>
      <c r="H212" s="21" t="n">
        <v>0.05</v>
      </c>
      <c r="I212" s="41" t="n">
        <f aca="false">G212*H212</f>
        <v>26.6952812715769</v>
      </c>
    </row>
    <row r="213" customFormat="false" ht="15" hidden="false" customHeight="false" outlineLevel="0" collapsed="false"/>
    <row r="214" customFormat="false" ht="15" hidden="false" customHeight="false" outlineLevel="0" collapsed="false">
      <c r="A214" s="2" t="s">
        <v>224</v>
      </c>
      <c r="D214" s="25" t="n">
        <f aca="false">SUM(I209:I212)</f>
        <v>334.440910614067</v>
      </c>
      <c r="E214" s="43" t="n">
        <f aca="false">SUM(H209:H212)</f>
        <v>1</v>
      </c>
      <c r="F214" s="1" t="s">
        <v>225</v>
      </c>
    </row>
    <row r="215" customFormat="false" ht="15" hidden="false" customHeight="false" outlineLevel="0" collapsed="false">
      <c r="A215" s="1" t="s">
        <v>226</v>
      </c>
    </row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/>
    <row r="221" customFormat="false" ht="15" hidden="false" customHeight="false" outlineLevel="0" collapsed="false"/>
    <row r="222" customFormat="false" ht="15" hidden="false" customHeight="false" outlineLevel="0" collapsed="false"/>
    <row r="223" customFormat="false" ht="15" hidden="false" customHeight="false" outlineLevel="0" collapsed="false"/>
    <row r="224" customFormat="false" ht="15" hidden="false" customHeight="false" outlineLevel="0" collapsed="false"/>
    <row r="225" customFormat="false" ht="15" hidden="false" customHeight="false" outlineLevel="0" collapsed="false"/>
    <row r="226" customFormat="false" ht="16.15" hidden="false" customHeight="false" outlineLevel="0" collapsed="false">
      <c r="A226" s="42" t="s">
        <v>227</v>
      </c>
    </row>
    <row r="227" customFormat="false" ht="15" hidden="false" customHeight="false" outlineLevel="0" collapsed="false">
      <c r="A227" s="3" t="s">
        <v>228</v>
      </c>
      <c r="I227" s="4" t="n">
        <v>455.4</v>
      </c>
      <c r="J227" s="4" t="n">
        <v>586.5</v>
      </c>
      <c r="K227" s="4" t="n">
        <v>690.6</v>
      </c>
    </row>
    <row r="228" customFormat="false" ht="15" hidden="false" customHeight="false" outlineLevel="0" collapsed="false">
      <c r="A228" s="1" t="s">
        <v>229</v>
      </c>
      <c r="I228" s="43" t="n">
        <f aca="false">I26/I227-1</f>
        <v>-0.000113768115941992</v>
      </c>
      <c r="J228" s="43" t="n">
        <f aca="false">J26/J227-1</f>
        <v>-0.130451879283887</v>
      </c>
      <c r="K228" s="43" t="n">
        <f aca="false">K26/K227-1</f>
        <v>-0.180294135812337</v>
      </c>
    </row>
    <row r="229" customFormat="false" ht="15" hidden="false" customHeight="false" outlineLevel="0" collapsed="false">
      <c r="A229" s="3" t="s">
        <v>230</v>
      </c>
      <c r="I229" s="4" t="n">
        <v>12.6</v>
      </c>
      <c r="J229" s="4" t="n">
        <v>14.85</v>
      </c>
      <c r="K229" s="4" t="n">
        <v>17.31</v>
      </c>
    </row>
    <row r="230" customFormat="false" ht="15" hidden="false" customHeight="false" outlineLevel="0" collapsed="false">
      <c r="A230" s="1" t="s">
        <v>231</v>
      </c>
      <c r="I230" s="43" t="n">
        <f aca="false">I203/I229-1</f>
        <v>-0.180311333331351</v>
      </c>
      <c r="J230" s="43" t="n">
        <f aca="false">J203/J229-1</f>
        <v>-0.206968621608564</v>
      </c>
      <c r="K230" s="43" t="n">
        <f aca="false">K203/K229-1</f>
        <v>-0.228985836679241</v>
      </c>
    </row>
    <row r="231" customFormat="false" ht="15" hidden="false" customHeight="false" outlineLevel="0" collapsed="false">
      <c r="A231" s="1" t="s">
        <v>232</v>
      </c>
    </row>
    <row r="232" customFormat="false" ht="15" hidden="false" customHeight="false" outlineLevel="0" collapsed="false">
      <c r="A232" s="14" t="s">
        <v>233</v>
      </c>
    </row>
    <row r="233" customFormat="false" ht="15" hidden="false" customHeight="false" outlineLevel="0" collapsed="false">
      <c r="A233" s="1" t="s">
        <v>234</v>
      </c>
    </row>
    <row r="234" customFormat="false" ht="15" hidden="false" customHeight="false" outlineLevel="0" collapsed="false"/>
    <row r="235" customFormat="false" ht="16.15" hidden="false" customHeight="false" outlineLevel="0" collapsed="false">
      <c r="A235" s="42" t="s">
        <v>235</v>
      </c>
    </row>
    <row r="236" customFormat="false" ht="15" hidden="false" customHeight="false" outlineLevel="0" collapsed="false">
      <c r="A236" s="2" t="s">
        <v>236</v>
      </c>
      <c r="F236" s="2" t="s">
        <v>237</v>
      </c>
      <c r="G236" s="2" t="s">
        <v>238</v>
      </c>
    </row>
    <row r="237" customFormat="false" ht="15" hidden="false" customHeight="false" outlineLevel="0" collapsed="false">
      <c r="A237" s="3" t="s">
        <v>239</v>
      </c>
      <c r="F237" s="21" t="n">
        <v>0.65</v>
      </c>
      <c r="G237" s="1" t="s">
        <v>240</v>
      </c>
    </row>
    <row r="238" customFormat="false" ht="15" hidden="false" customHeight="false" outlineLevel="0" collapsed="false">
      <c r="A238" s="3" t="s">
        <v>241</v>
      </c>
      <c r="F238" s="21" t="n">
        <v>0.5</v>
      </c>
      <c r="G238" s="1" t="s">
        <v>242</v>
      </c>
    </row>
    <row r="239" customFormat="false" ht="15" hidden="false" customHeight="false" outlineLevel="0" collapsed="false">
      <c r="A239" s="3" t="s">
        <v>243</v>
      </c>
      <c r="F239" s="21" t="n">
        <v>0.7</v>
      </c>
      <c r="G239" s="1" t="s">
        <v>244</v>
      </c>
    </row>
    <row r="240" customFormat="false" ht="15" hidden="false" customHeight="false" outlineLevel="0" collapsed="false">
      <c r="A240" s="3" t="s">
        <v>245</v>
      </c>
      <c r="F240" s="21" t="n">
        <v>0.6</v>
      </c>
      <c r="G240" s="1" t="s">
        <v>246</v>
      </c>
    </row>
    <row r="241" customFormat="false" ht="15" hidden="false" customHeight="false" outlineLevel="0" collapsed="false">
      <c r="A241" s="3" t="s">
        <v>247</v>
      </c>
      <c r="F241" s="21" t="n">
        <v>0.7</v>
      </c>
      <c r="G241" s="1" t="s">
        <v>248</v>
      </c>
    </row>
    <row r="242" customFormat="false" ht="15" hidden="false" customHeight="false" outlineLevel="0" collapsed="false">
      <c r="A242" s="3" t="s">
        <v>249</v>
      </c>
      <c r="F242" s="21" t="n">
        <v>0.55</v>
      </c>
      <c r="G242" s="1" t="s">
        <v>250</v>
      </c>
    </row>
    <row r="243" customFormat="false" ht="15" hidden="false" customHeight="false" outlineLevel="0" collapsed="false"/>
    <row r="244" customFormat="false" ht="16.15" hidden="false" customHeight="false" outlineLevel="0" collapsed="false">
      <c r="A244" s="15" t="s">
        <v>251</v>
      </c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</row>
    <row r="245" customFormat="false" ht="15" hidden="false" customHeight="false" outlineLevel="0" collapsed="false">
      <c r="A245" s="3" t="s">
        <v>252</v>
      </c>
      <c r="D245" s="31" t="n">
        <v>0.0455</v>
      </c>
    </row>
    <row r="246" customFormat="false" ht="15" hidden="false" customHeight="false" outlineLevel="0" collapsed="false">
      <c r="A246" s="3" t="s">
        <v>253</v>
      </c>
      <c r="D246" s="31" t="n">
        <v>-0.0023</v>
      </c>
    </row>
    <row r="247" customFormat="false" ht="15" hidden="false" customHeight="false" outlineLevel="0" collapsed="false">
      <c r="A247" s="3" t="s">
        <v>254</v>
      </c>
      <c r="D247" s="31" t="n">
        <v>0.0432</v>
      </c>
    </row>
    <row r="248" customFormat="false" ht="15" hidden="false" customHeight="false" outlineLevel="0" collapsed="false">
      <c r="A248" s="3" t="s">
        <v>255</v>
      </c>
      <c r="D248" s="31" t="n">
        <v>0.0446</v>
      </c>
    </row>
    <row r="249" customFormat="false" ht="15" hidden="false" customHeight="false" outlineLevel="0" collapsed="false">
      <c r="A249" s="3" t="s">
        <v>256</v>
      </c>
      <c r="D249" s="31" t="n">
        <v>0.0878</v>
      </c>
    </row>
    <row r="250" customFormat="false" ht="15" hidden="false" customHeight="false" outlineLevel="0" collapsed="false">
      <c r="A250" s="3" t="s">
        <v>257</v>
      </c>
      <c r="D250" s="31" t="n">
        <v>0</v>
      </c>
    </row>
    <row r="251" customFormat="false" ht="15" hidden="false" customHeight="false" outlineLevel="0" collapsed="false">
      <c r="A251" s="3" t="s">
        <v>258</v>
      </c>
      <c r="D251" s="4" t="n">
        <v>1.165</v>
      </c>
    </row>
    <row r="252" customFormat="false" ht="15" hidden="false" customHeight="false" outlineLevel="0" collapsed="false">
      <c r="A252" s="3" t="s">
        <v>259</v>
      </c>
      <c r="D252" s="31" t="n">
        <v>0</v>
      </c>
    </row>
    <row r="253" customFormat="false" ht="15" hidden="false" customHeight="false" outlineLevel="0" collapsed="false">
      <c r="A253" s="2" t="s">
        <v>260</v>
      </c>
      <c r="D253" s="44" t="n">
        <f aca="false">D247+D251*D248+D252</f>
        <v>0.095159</v>
      </c>
      <c r="F253" s="1" t="s">
        <v>261</v>
      </c>
    </row>
    <row r="254" customFormat="false" ht="15" hidden="false" customHeight="false" outlineLevel="0" collapsed="false">
      <c r="A254" s="3" t="s">
        <v>262</v>
      </c>
      <c r="D254" s="31" t="n">
        <v>0.0477</v>
      </c>
      <c r="F254" s="1" t="s">
        <v>263</v>
      </c>
    </row>
    <row r="255" customFormat="false" ht="15" hidden="false" customHeight="false" outlineLevel="0" collapsed="false">
      <c r="A255" s="3" t="s">
        <v>264</v>
      </c>
      <c r="D255" s="45" t="n">
        <v>0.0358</v>
      </c>
    </row>
    <row r="256" customFormat="false" ht="15" hidden="false" customHeight="false" outlineLevel="0" collapsed="false">
      <c r="A256" s="2" t="s">
        <v>265</v>
      </c>
      <c r="D256" s="44" t="n">
        <f aca="false">D253*(1-D262)+D255*D262</f>
        <v>0.0943339099</v>
      </c>
    </row>
    <row r="257" customFormat="false" ht="15" hidden="false" customHeight="false" outlineLevel="0" collapsed="false">
      <c r="A257" s="1" t="s">
        <v>266</v>
      </c>
      <c r="D257" s="46" t="n">
        <f aca="false">$D$138-D247</f>
        <v>0</v>
      </c>
      <c r="F257" s="1" t="s">
        <v>267</v>
      </c>
    </row>
    <row r="258" customFormat="false" ht="15" hidden="false" customHeight="false" outlineLevel="0" collapsed="false">
      <c r="A258" s="3" t="s">
        <v>268</v>
      </c>
      <c r="D258" s="31" t="n">
        <v>0</v>
      </c>
    </row>
    <row r="259" customFormat="false" ht="15" hidden="false" customHeight="false" outlineLevel="0" collapsed="false">
      <c r="A259" s="2" t="s">
        <v>269</v>
      </c>
      <c r="D259" s="44" t="n">
        <f aca="false">D256+D258</f>
        <v>0.0943339099</v>
      </c>
    </row>
    <row r="260" customFormat="false" ht="15" hidden="false" customHeight="false" outlineLevel="0" collapsed="false">
      <c r="A260" s="1" t="s">
        <v>270</v>
      </c>
      <c r="D260" s="46" t="n">
        <f aca="false">I149-D259</f>
        <v>6.60900999999853E-005</v>
      </c>
      <c r="F260" s="1" t="s">
        <v>271</v>
      </c>
    </row>
    <row r="261" customFormat="false" ht="15" hidden="false" customHeight="false" outlineLevel="0" collapsed="false">
      <c r="A261" s="2" t="s">
        <v>272</v>
      </c>
    </row>
    <row r="262" customFormat="false" ht="15" hidden="false" customHeight="false" outlineLevel="0" collapsed="false">
      <c r="A262" s="3" t="s">
        <v>273</v>
      </c>
      <c r="D262" s="31" t="n">
        <v>0.0139</v>
      </c>
      <c r="F262" s="1" t="s">
        <v>274</v>
      </c>
    </row>
    <row r="263" customFormat="false" ht="15" hidden="false" customHeight="false" outlineLevel="0" collapsed="false">
      <c r="A263" s="2" t="s">
        <v>275</v>
      </c>
      <c r="D263" s="44" t="n">
        <f aca="false">1-D262</f>
        <v>0.9861</v>
      </c>
    </row>
    <row r="264" customFormat="false" ht="15" hidden="false" customHeight="false" outlineLevel="0" collapsed="false">
      <c r="A264" s="1" t="s">
        <v>276</v>
      </c>
      <c r="D264" s="46" t="n">
        <f aca="false">D262+D263</f>
        <v>1</v>
      </c>
    </row>
    <row r="265" customFormat="false" ht="15" hidden="false" customHeight="false" outlineLevel="0" collapsed="false">
      <c r="A265" s="3" t="s">
        <v>277</v>
      </c>
      <c r="D265" s="45" t="n">
        <f aca="false">D253*D263</f>
        <v>0.0938362899</v>
      </c>
    </row>
    <row r="266" customFormat="false" ht="15" hidden="false" customHeight="false" outlineLevel="0" collapsed="false">
      <c r="A266" s="3" t="s">
        <v>278</v>
      </c>
      <c r="D266" s="45" t="n">
        <f aca="false">D255*D262</f>
        <v>0.00049762</v>
      </c>
    </row>
    <row r="267" customFormat="false" ht="15" hidden="false" customHeight="false" outlineLevel="0" collapsed="false">
      <c r="A267" s="2" t="s">
        <v>279</v>
      </c>
      <c r="D267" s="44" t="n">
        <f aca="false">D265+D266</f>
        <v>0.0943339099</v>
      </c>
    </row>
    <row r="268" customFormat="false" ht="15" hidden="false" customHeight="false" outlineLevel="0" collapsed="false">
      <c r="A268" s="1" t="s">
        <v>280</v>
      </c>
    </row>
    <row r="269" customFormat="false" ht="15" hidden="false" customHeight="false" outlineLevel="0" collapsed="false"/>
    <row r="270" customFormat="false" ht="15" hidden="false" customHeight="false" outlineLevel="0" collapsed="false"/>
    <row r="271" customFormat="false" ht="15" hidden="true" customHeight="false" outlineLevel="0" collapsed="false"/>
    <row r="272" customFormat="false" ht="15" hidden="true" customHeight="false" outlineLevel="0" collapsed="false"/>
    <row r="273" customFormat="false" ht="15" hidden="true" customHeight="false" outlineLevel="0" collapsed="false"/>
    <row r="274" customFormat="false" ht="15" hidden="true" customHeight="false" outlineLevel="0" collapsed="false"/>
    <row r="275" customFormat="false" ht="16.15" hidden="false" customHeight="false" outlineLevel="0" collapsed="false">
      <c r="A275" s="15" t="s">
        <v>281</v>
      </c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</row>
    <row r="276" customFormat="false" ht="15" hidden="false" customHeight="false" outlineLevel="0" collapsed="false"/>
    <row r="277" customFormat="false" ht="15" hidden="false" customHeight="false" outlineLevel="0" collapsed="false">
      <c r="A277" s="3" t="s">
        <v>10</v>
      </c>
      <c r="D277" s="22" t="n">
        <f aca="false">D26</f>
        <v>257.637</v>
      </c>
      <c r="E277" s="22" t="n">
        <f aca="false">E26</f>
        <v>282.836</v>
      </c>
      <c r="F277" s="22" t="n">
        <f aca="false">F26</f>
        <v>307.394</v>
      </c>
      <c r="G277" s="22" t="n">
        <f aca="false">G26</f>
        <v>350.018</v>
      </c>
      <c r="H277" s="22" t="n">
        <f aca="false">H26</f>
        <v>402.963</v>
      </c>
      <c r="I277" s="22" t="n">
        <f aca="false">I26</f>
        <v>455.34819</v>
      </c>
      <c r="J277" s="22" t="n">
        <f aca="false">J26</f>
        <v>509.9899728</v>
      </c>
      <c r="K277" s="22" t="n">
        <f aca="false">K26</f>
        <v>566.088869808</v>
      </c>
      <c r="L277" s="22" t="n">
        <f aca="false">L26</f>
        <v>622.6977567888</v>
      </c>
      <c r="M277" s="22" t="n">
        <f aca="false">M26</f>
        <v>678.740554899792</v>
      </c>
      <c r="N277" s="22" t="n">
        <f aca="false">N26</f>
        <v>733.039799291776</v>
      </c>
      <c r="O277" s="22" t="n">
        <f aca="false">O26</f>
        <v>784.3525852422</v>
      </c>
      <c r="P277" s="22" t="n">
        <f aca="false">P26</f>
        <v>831.413740356732</v>
      </c>
      <c r="Q277" s="22" t="n">
        <f aca="false">Q26</f>
        <v>872.984427374569</v>
      </c>
      <c r="R277" s="22" t="n">
        <f aca="false">R26</f>
        <v>910.522757751675</v>
      </c>
    </row>
    <row r="278" customFormat="false" ht="15" hidden="false" customHeight="false" outlineLevel="0" collapsed="false">
      <c r="A278" s="3" t="s">
        <v>282</v>
      </c>
      <c r="D278" s="20" t="n">
        <f aca="false">D28/D26</f>
        <v>0.569398029009808</v>
      </c>
      <c r="E278" s="20" t="n">
        <f aca="false">E28/E26</f>
        <v>0.553794425037831</v>
      </c>
      <c r="F278" s="20" t="n">
        <f aca="false">F28/F26</f>
        <v>0.566250479840205</v>
      </c>
      <c r="G278" s="20" t="n">
        <f aca="false">G28/G26</f>
        <v>0.582004354061791</v>
      </c>
      <c r="H278" s="20" t="n">
        <f aca="false">H28/H26</f>
        <v>0.596650312807876</v>
      </c>
      <c r="I278" s="20" t="n">
        <f aca="false">I28/I26</f>
        <v>0.597</v>
      </c>
      <c r="J278" s="20" t="n">
        <f aca="false">J28/J26</f>
        <v>0.597</v>
      </c>
      <c r="K278" s="20" t="n">
        <f aca="false">K28/K26</f>
        <v>0.597</v>
      </c>
      <c r="L278" s="20" t="n">
        <f aca="false">L28/L26</f>
        <v>0.597</v>
      </c>
      <c r="M278" s="20" t="n">
        <f aca="false">M28/M26</f>
        <v>0.597</v>
      </c>
      <c r="N278" s="20" t="n">
        <f aca="false">N28/N26</f>
        <v>0.597</v>
      </c>
      <c r="O278" s="20" t="n">
        <f aca="false">O28/O26</f>
        <v>0.597</v>
      </c>
      <c r="P278" s="20" t="n">
        <f aca="false">P28/P26</f>
        <v>0.597</v>
      </c>
      <c r="Q278" s="20" t="n">
        <f aca="false">Q28/Q26</f>
        <v>0.597</v>
      </c>
      <c r="R278" s="20" t="n">
        <f aca="false">R28/R26</f>
        <v>0.597</v>
      </c>
    </row>
    <row r="279" customFormat="false" ht="15" hidden="false" customHeight="false" outlineLevel="0" collapsed="false"/>
    <row r="280" customFormat="false" ht="15" hidden="false" customHeight="false" outlineLevel="0" collapsed="false">
      <c r="A280" s="3" t="s">
        <v>112</v>
      </c>
      <c r="E280" s="22" t="n">
        <f aca="false">E69</f>
        <v>76.919</v>
      </c>
      <c r="F280" s="22" t="n">
        <f aca="false">F69</f>
        <v>91.424</v>
      </c>
      <c r="G280" s="22" t="n">
        <f aca="false">G69</f>
        <v>111.179</v>
      </c>
      <c r="H280" s="22" t="n">
        <f aca="false">H69</f>
        <v>133.971</v>
      </c>
      <c r="I280" s="22" t="n">
        <f aca="false">I69</f>
        <v>147.744941707343</v>
      </c>
      <c r="J280" s="22" t="n">
        <f aca="false">J69</f>
        <v>171.632984981704</v>
      </c>
      <c r="K280" s="22" t="n">
        <f aca="false">K69</f>
        <v>192.253738749779</v>
      </c>
      <c r="L280" s="22" t="n">
        <f aca="false">L69</f>
        <v>212.68646501783</v>
      </c>
      <c r="M280" s="22" t="n">
        <f aca="false">M69</f>
        <v>233.041142837696</v>
      </c>
      <c r="N280" s="22" t="n">
        <f aca="false">N69</f>
        <v>252.77601699498</v>
      </c>
      <c r="O280" s="22" t="n">
        <f aca="false">O69</f>
        <v>271.595634664917</v>
      </c>
      <c r="P280" s="22" t="n">
        <f aca="false">P69</f>
        <v>288.307346986334</v>
      </c>
      <c r="Q280" s="22" t="n">
        <f aca="false">Q69</f>
        <v>303.143866670992</v>
      </c>
      <c r="R280" s="22" t="n">
        <f aca="false">R69</f>
        <v>316.07920168414</v>
      </c>
    </row>
    <row r="281" customFormat="false" ht="15" hidden="false" customHeight="false" outlineLevel="0" collapsed="false">
      <c r="A281" s="3" t="s">
        <v>116</v>
      </c>
      <c r="E281" s="22" t="n">
        <f aca="false">-E73</f>
        <v>-31.485</v>
      </c>
      <c r="F281" s="22" t="n">
        <f aca="false">-F73</f>
        <v>-32.251</v>
      </c>
      <c r="G281" s="22" t="n">
        <f aca="false">-G73</f>
        <v>-52.535</v>
      </c>
      <c r="H281" s="22" t="n">
        <f aca="false">-H73</f>
        <v>-91.447</v>
      </c>
      <c r="I281" s="22" t="n">
        <f aca="false">-I73</f>
        <v>-95</v>
      </c>
      <c r="J281" s="22" t="n">
        <f aca="false">-J73</f>
        <v>-100</v>
      </c>
      <c r="K281" s="22" t="n">
        <f aca="false">-K73</f>
        <v>-100</v>
      </c>
      <c r="L281" s="22" t="n">
        <f aca="false">-L73</f>
        <v>-95</v>
      </c>
      <c r="M281" s="22" t="n">
        <f aca="false">-M73</f>
        <v>-90</v>
      </c>
      <c r="N281" s="22" t="n">
        <f aca="false">-N73</f>
        <v>-85</v>
      </c>
      <c r="O281" s="22" t="n">
        <f aca="false">-O73</f>
        <v>-80</v>
      </c>
      <c r="P281" s="22" t="n">
        <f aca="false">-P73</f>
        <v>-78</v>
      </c>
      <c r="Q281" s="22" t="n">
        <f aca="false">-Q73</f>
        <v>-76</v>
      </c>
      <c r="R281" s="22" t="n">
        <f aca="false">-R73</f>
        <v>-75</v>
      </c>
    </row>
    <row r="282" customFormat="false" ht="15" hidden="false" customHeight="false" outlineLevel="0" collapsed="false">
      <c r="A282" s="3" t="s">
        <v>119</v>
      </c>
      <c r="E282" s="22" t="n">
        <f aca="false">E78</f>
        <v>-60.492</v>
      </c>
      <c r="F282" s="22" t="n">
        <f aca="false">F78</f>
        <v>-62.264</v>
      </c>
      <c r="G282" s="22" t="n">
        <f aca="false">G78</f>
        <v>-61.334</v>
      </c>
      <c r="H282" s="22" t="n">
        <f aca="false">H78</f>
        <v>-13.572</v>
      </c>
      <c r="I282" s="22" t="n">
        <f aca="false">I78</f>
        <v>-70</v>
      </c>
      <c r="J282" s="22" t="n">
        <f aca="false">J78</f>
        <v>-70</v>
      </c>
      <c r="K282" s="22" t="n">
        <f aca="false">K78</f>
        <v>-70</v>
      </c>
      <c r="L282" s="22" t="n">
        <f aca="false">L78</f>
        <v>-70</v>
      </c>
      <c r="M282" s="22" t="n">
        <f aca="false">M78</f>
        <v>-70</v>
      </c>
      <c r="N282" s="22" t="n">
        <f aca="false">N78</f>
        <v>-70</v>
      </c>
      <c r="O282" s="22" t="n">
        <f aca="false">O78</f>
        <v>-70</v>
      </c>
      <c r="P282" s="22" t="n">
        <f aca="false">P78</f>
        <v>-70</v>
      </c>
      <c r="Q282" s="22" t="n">
        <f aca="false">Q78</f>
        <v>-70</v>
      </c>
      <c r="R282" s="22" t="n">
        <f aca="false">R78</f>
        <v>-70</v>
      </c>
    </row>
    <row r="283" customFormat="false" ht="15" hidden="false" customHeight="false" outlineLevel="0" collapsed="false"/>
    <row r="284" customFormat="false" ht="15" hidden="false" customHeight="false" outlineLevel="0" collapsed="false"/>
    <row r="285" customFormat="false" ht="15" hidden="false" customHeight="false" outlineLevel="0" collapsed="false"/>
    <row r="286" customFormat="false" ht="15" hidden="false" customHeight="false" outlineLevel="0" collapsed="false"/>
  </sheetData>
  <mergeCells count="3">
    <mergeCell ref="A1:C2"/>
    <mergeCell ref="D1:H1"/>
    <mergeCell ref="I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5"/>
    <col collapsed="false" customWidth="true" hidden="false" outlineLevel="0" max="10" min="9" style="0" width="10"/>
  </cols>
  <sheetData>
    <row r="1" customFormat="false" ht="13.8" hidden="false" customHeight="false" outlineLevel="0" collapsed="false">
      <c r="A1" s="47" t="s">
        <v>283</v>
      </c>
      <c r="B1" s="47"/>
      <c r="C1" s="47"/>
      <c r="D1" s="47"/>
      <c r="E1" s="47"/>
      <c r="F1" s="47"/>
      <c r="G1" s="47"/>
      <c r="H1" s="47"/>
      <c r="I1" s="47"/>
      <c r="J1" s="47"/>
    </row>
    <row r="2" customFormat="false" ht="13.8" hidden="false" customHeight="false" outlineLevel="0" collapsed="false">
      <c r="A2" s="47"/>
      <c r="B2" s="47"/>
      <c r="C2" s="47"/>
      <c r="D2" s="47"/>
      <c r="E2" s="47"/>
      <c r="F2" s="47"/>
      <c r="G2" s="47"/>
      <c r="H2" s="47"/>
      <c r="I2" s="47"/>
      <c r="J2" s="47"/>
    </row>
    <row r="3" customFormat="false" ht="13.8" hidden="false" customHeight="false" outlineLevel="0" collapsed="false">
      <c r="A3" s="13" t="s">
        <v>284</v>
      </c>
    </row>
    <row r="4" customFormat="false" ht="13.8" hidden="false" customHeight="false" outlineLevel="0" collapsed="false"/>
    <row r="5" customFormat="false" ht="16.15" hidden="false" customHeight="false" outlineLevel="0" collapsed="false">
      <c r="A5" s="15" t="s">
        <v>285</v>
      </c>
      <c r="B5" s="16"/>
      <c r="C5" s="16"/>
      <c r="D5" s="16"/>
      <c r="E5" s="16"/>
      <c r="F5" s="16"/>
      <c r="G5" s="16"/>
      <c r="H5" s="16"/>
      <c r="I5" s="16"/>
      <c r="J5" s="16"/>
    </row>
    <row r="6" customFormat="false" ht="13.8" hidden="false" customHeight="false" outlineLevel="0" collapsed="false"/>
    <row r="7" customFormat="false" ht="13.8" hidden="false" customHeight="false" outlineLevel="0" collapsed="false">
      <c r="B7" s="48" t="n">
        <f aca="false">'Financial Model &amp; DCF'!$D$138+-0.005</f>
        <v>0.0382</v>
      </c>
      <c r="C7" s="48" t="n">
        <f aca="false">'Financial Model &amp; DCF'!$D$138+-0.0025</f>
        <v>0.0407</v>
      </c>
      <c r="D7" s="48" t="n">
        <f aca="false">'Financial Model &amp; DCF'!$D$138+0</f>
        <v>0.0432</v>
      </c>
      <c r="E7" s="48" t="n">
        <f aca="false">'Financial Model &amp; DCF'!$D$138+0.0025</f>
        <v>0.0457</v>
      </c>
      <c r="F7" s="48" t="n">
        <f aca="false">'Financial Model &amp; DCF'!$D$138+0.005</f>
        <v>0.0482</v>
      </c>
    </row>
    <row r="8" customFormat="false" ht="13.8" hidden="false" customHeight="false" outlineLevel="0" collapsed="false">
      <c r="A8" s="44" t="n">
        <f aca="false">'Financial Model &amp; DCF'!$R$149+-0.02</f>
        <v>0.0671</v>
      </c>
      <c r="B8" s="49" t="n">
        <f aca="false">(SUMPRODUCT('Financial Model &amp; DCF'!$I$158:$R$158,(1+$A8)^-('Financial Model &amp; DCF'!$I$148:$R$148))+'Financial Model &amp; DCF'!$R$156*(1+B$7)/($A8-B$7)*(1+$A8)^-'Financial Model &amp; DCF'!$R$148-('Financial Model &amp; DCF'!$H$52-'Financial Model &amp; DCF'!$H$44))/'Financial Model &amp; DCF'!$D$136</f>
        <v>484.764439005258</v>
      </c>
      <c r="C8" s="49" t="n">
        <f aca="false">(SUMPRODUCT('Financial Model &amp; DCF'!$I$158:$R$158,(1+$A8)^-('Financial Model &amp; DCF'!$I$148:$R$148))+'Financial Model &amp; DCF'!$R$156*(1+C$7)/($A8-C$7)*(1+$A8)^-'Financial Model &amp; DCF'!$R$148-('Financial Model &amp; DCF'!$H$52-'Financial Model &amp; DCF'!$H$44))/'Financial Model &amp; DCF'!$D$136</f>
        <v>522.697731214554</v>
      </c>
      <c r="D8" s="49" t="n">
        <f aca="false">(SUMPRODUCT('Financial Model &amp; DCF'!$I$158:$R$158,(1+$A8)^-('Financial Model &amp; DCF'!$I$148:$R$148))+'Financial Model &amp; DCF'!$R$156*(1+D$7)/($A8-D$7)*(1+$A8)^-'Financial Model &amp; DCF'!$R$148-('Financial Model &amp; DCF'!$H$52-'Financial Model &amp; DCF'!$H$44))/'Financial Model &amp; DCF'!$D$136</f>
        <v>568.566858614079</v>
      </c>
      <c r="E8" s="49" t="n">
        <f aca="false">(SUMPRODUCT('Financial Model &amp; DCF'!$I$158:$R$158,(1+$A8)^-('Financial Model &amp; DCF'!$I$148:$R$148))+'Financial Model &amp; DCF'!$R$156*(1+E$7)/($A8-E$7)*(1+$A8)^-'Financial Model &amp; DCF'!$R$148-('Financial Model &amp; DCF'!$H$52-'Financial Model &amp; DCF'!$H$44))/'Financial Model &amp; DCF'!$D$136</f>
        <v>625.153071854615</v>
      </c>
      <c r="F8" s="49" t="n">
        <f aca="false">(SUMPRODUCT('Financial Model &amp; DCF'!$I$158:$R$158,(1+$A8)^-('Financial Model &amp; DCF'!$I$148:$R$148))+'Financial Model &amp; DCF'!$R$156*(1+F$7)/($A8-F$7)*(1+$A8)^-'Financial Model &amp; DCF'!$R$148-('Financial Model &amp; DCF'!$H$52-'Financial Model &amp; DCF'!$H$44))/'Financial Model &amp; DCF'!$D$136</f>
        <v>696.709182777832</v>
      </c>
    </row>
    <row r="9" customFormat="false" ht="13.8" hidden="false" customHeight="false" outlineLevel="0" collapsed="false">
      <c r="A9" s="44" t="n">
        <f aca="false">'Financial Model &amp; DCF'!$R$149+-0.01</f>
        <v>0.0771</v>
      </c>
      <c r="B9" s="49" t="n">
        <f aca="false">(SUMPRODUCT('Financial Model &amp; DCF'!$I$158:$R$158,(1+$A9)^-('Financial Model &amp; DCF'!$I$148:$R$148))+'Financial Model &amp; DCF'!$R$156*(1+B$7)/($A9-B$7)*(1+$A9)^-'Financial Model &amp; DCF'!$R$148-('Financial Model &amp; DCF'!$H$52-'Financial Model &amp; DCF'!$H$44))/'Financial Model &amp; DCF'!$D$136</f>
        <v>355.705509975189</v>
      </c>
      <c r="C9" s="49" t="n">
        <f aca="false">(SUMPRODUCT('Financial Model &amp; DCF'!$I$158:$R$158,(1+$A9)^-('Financial Model &amp; DCF'!$I$148:$R$148))+'Financial Model &amp; DCF'!$R$156*(1+C$7)/($A9-C$7)*(1+$A9)^-'Financial Model &amp; DCF'!$R$148-('Financial Model &amp; DCF'!$H$52-'Financial Model &amp; DCF'!$H$44))/'Financial Model &amp; DCF'!$D$136</f>
        <v>374.594100274537</v>
      </c>
      <c r="D9" s="49" t="n">
        <f aca="false">(SUMPRODUCT('Financial Model &amp; DCF'!$I$158:$R$158,(1+$A9)^-('Financial Model &amp; DCF'!$I$148:$R$148))+'Financial Model &amp; DCF'!$R$156*(1+D$7)/($A9-D$7)*(1+$A9)^-'Financial Model &amp; DCF'!$R$148-('Financial Model &amp; DCF'!$H$52-'Financial Model &amp; DCF'!$H$44))/'Financial Model &amp; DCF'!$D$136</f>
        <v>396.26861834665</v>
      </c>
      <c r="E9" s="49" t="n">
        <f aca="false">(SUMPRODUCT('Financial Model &amp; DCF'!$I$158:$R$158,(1+$A9)^-('Financial Model &amp; DCF'!$I$148:$R$148))+'Financial Model &amp; DCF'!$R$156*(1+E$7)/($A9-E$7)*(1+$A9)^-'Financial Model &amp; DCF'!$R$148-('Financial Model &amp; DCF'!$H$52-'Financial Model &amp; DCF'!$H$44))/'Financial Model &amp; DCF'!$D$136</f>
        <v>421.394492799673</v>
      </c>
      <c r="F9" s="49" t="n">
        <f aca="false">(SUMPRODUCT('Financial Model &amp; DCF'!$I$158:$R$158,(1+$A9)^-('Financial Model &amp; DCF'!$I$148:$R$148))+'Financial Model &amp; DCF'!$R$156*(1+F$7)/($A9-F$7)*(1+$A9)^-'Financial Model &amp; DCF'!$R$148-('Financial Model &amp; DCF'!$H$52-'Financial Model &amp; DCF'!$H$44))/'Financial Model &amp; DCF'!$D$136</f>
        <v>450.867404355295</v>
      </c>
    </row>
    <row r="10" customFormat="false" ht="13.8" hidden="false" customHeight="false" outlineLevel="0" collapsed="false">
      <c r="A10" s="44" t="n">
        <f aca="false">'Financial Model &amp; DCF'!$R$149+0</f>
        <v>0.0871</v>
      </c>
      <c r="B10" s="49" t="n">
        <f aca="false">(SUMPRODUCT('Financial Model &amp; DCF'!$I$158:$R$158,(1+$A10)^-('Financial Model &amp; DCF'!$I$148:$R$148))+'Financial Model &amp; DCF'!$R$156*(1+B$7)/($A10-B$7)*(1+$A10)^-'Financial Model &amp; DCF'!$R$148-('Financial Model &amp; DCF'!$H$52-'Financial Model &amp; DCF'!$H$44))/'Financial Model &amp; DCF'!$D$136</f>
        <v>279.738556693525</v>
      </c>
      <c r="C10" s="49" t="n">
        <f aca="false">(SUMPRODUCT('Financial Model &amp; DCF'!$I$158:$R$158,(1+$A10)^-('Financial Model &amp; DCF'!$I$148:$R$148))+'Financial Model &amp; DCF'!$R$156*(1+C$7)/($A10-C$7)*(1+$A10)^-'Financial Model &amp; DCF'!$R$148-('Financial Model &amp; DCF'!$H$52-'Financial Model &amp; DCF'!$H$44))/'Financial Model &amp; DCF'!$D$136</f>
        <v>290.639614369983</v>
      </c>
      <c r="D10" s="50" t="n">
        <f aca="false">(SUMPRODUCT('Financial Model &amp; DCF'!$I$158:$R$158,(1+$A10)^-('Financial Model &amp; DCF'!$I$148:$R$148))+'Financial Model &amp; DCF'!$R$156*(1+D$7)/($A10-D$7)*(1+$A10)^-'Financial Model &amp; DCF'!$R$148-('Financial Model &amp; DCF'!$H$52-'Financial Model &amp; DCF'!$H$44))/'Financial Model &amp; DCF'!$D$136</f>
        <v>302.782250369499</v>
      </c>
      <c r="E10" s="49" t="n">
        <f aca="false">(SUMPRODUCT('Financial Model &amp; DCF'!$I$158:$R$158,(1+$A10)^-('Financial Model &amp; DCF'!$I$148:$R$148))+'Financial Model &amp; DCF'!$R$156*(1+E$7)/($A10-E$7)*(1+$A10)^-'Financial Model &amp; DCF'!$R$148-('Financial Model &amp; DCF'!$H$52-'Financial Model &amp; DCF'!$H$44))/'Financial Model &amp; DCF'!$D$136</f>
        <v>316.391388301324</v>
      </c>
      <c r="F10" s="49" t="n">
        <f aca="false">(SUMPRODUCT('Financial Model &amp; DCF'!$I$158:$R$158,(1+$A10)^-('Financial Model &amp; DCF'!$I$148:$R$148))+'Financial Model &amp; DCF'!$R$156*(1+F$7)/($A10-F$7)*(1+$A10)^-'Financial Model &amp; DCF'!$R$148-('Financial Model &amp; DCF'!$H$52-'Financial Model &amp; DCF'!$H$44))/'Financial Model &amp; DCF'!$D$136</f>
        <v>331.74977275395</v>
      </c>
    </row>
    <row r="11" customFormat="false" ht="13.8" hidden="false" customHeight="false" outlineLevel="0" collapsed="false">
      <c r="A11" s="44" t="n">
        <f aca="false">'Financial Model &amp; DCF'!$R$149+0.01</f>
        <v>0.0971</v>
      </c>
      <c r="B11" s="49" t="n">
        <f aca="false">(SUMPRODUCT('Financial Model &amp; DCF'!$I$158:$R$158,(1+$A11)^-('Financial Model &amp; DCF'!$I$148:$R$148))+'Financial Model &amp; DCF'!$R$156*(1+B$7)/($A11-B$7)*(1+$A11)^-'Financial Model &amp; DCF'!$R$148-('Financial Model &amp; DCF'!$H$52-'Financial Model &amp; DCF'!$H$44))/'Financial Model &amp; DCF'!$D$136</f>
        <v>229.804876020561</v>
      </c>
      <c r="C11" s="49" t="n">
        <f aca="false">(SUMPRODUCT('Financial Model &amp; DCF'!$I$158:$R$158,(1+$A11)^-('Financial Model &amp; DCF'!$I$148:$R$148))+'Financial Model &amp; DCF'!$R$156*(1+C$7)/($A11-C$7)*(1+$A11)^-'Financial Model &amp; DCF'!$R$148-('Financial Model &amp; DCF'!$H$52-'Financial Model &amp; DCF'!$H$44))/'Financial Model &amp; DCF'!$D$136</f>
        <v>236.695474491738</v>
      </c>
      <c r="D11" s="49" t="n">
        <f aca="false">(SUMPRODUCT('Financial Model &amp; DCF'!$I$158:$R$158,(1+$A11)^-('Financial Model &amp; DCF'!$I$148:$R$148))+'Financial Model &amp; DCF'!$R$156*(1+D$7)/($A11-D$7)*(1+$A11)^-'Financial Model &amp; DCF'!$R$148-('Financial Model &amp; DCF'!$H$52-'Financial Model &amp; DCF'!$H$44))/'Financial Model &amp; DCF'!$D$136</f>
        <v>244.22527504744</v>
      </c>
      <c r="E11" s="49" t="n">
        <f aca="false">(SUMPRODUCT('Financial Model &amp; DCF'!$I$158:$R$158,(1+$A11)^-('Financial Model &amp; DCF'!$I$148:$R$148))+'Financial Model &amp; DCF'!$R$156*(1+E$7)/($A11-E$7)*(1+$A11)^-'Financial Model &amp; DCF'!$R$148-('Financial Model &amp; DCF'!$H$52-'Financial Model &amp; DCF'!$H$44))/'Financial Model &amp; DCF'!$D$136</f>
        <v>252.48754647432</v>
      </c>
      <c r="F11" s="49" t="n">
        <f aca="false">(SUMPRODUCT('Financial Model &amp; DCF'!$I$158:$R$158,(1+$A11)^-('Financial Model &amp; DCF'!$I$148:$R$148))+'Financial Model &amp; DCF'!$R$156*(1+F$7)/($A11-F$7)*(1+$A11)^-'Financial Model &amp; DCF'!$R$148-('Financial Model &amp; DCF'!$H$52-'Financial Model &amp; DCF'!$H$44))/'Financial Model &amp; DCF'!$D$136</f>
        <v>261.594630930532</v>
      </c>
    </row>
    <row r="12" customFormat="false" ht="13.8" hidden="false" customHeight="false" outlineLevel="0" collapsed="false">
      <c r="A12" s="44" t="n">
        <f aca="false">'Financial Model &amp; DCF'!$R$149+0.02</f>
        <v>0.1071</v>
      </c>
      <c r="B12" s="49" t="n">
        <f aca="false">(SUMPRODUCT('Financial Model &amp; DCF'!$I$158:$R$158,(1+$A12)^-('Financial Model &amp; DCF'!$I$148:$R$148))+'Financial Model &amp; DCF'!$R$156*(1+B$7)/($A12-B$7)*(1+$A12)^-'Financial Model &amp; DCF'!$R$148-('Financial Model &amp; DCF'!$H$52-'Financial Model &amp; DCF'!$H$44))/'Financial Model &amp; DCF'!$D$136</f>
        <v>194.555878485554</v>
      </c>
      <c r="C12" s="49" t="n">
        <f aca="false">(SUMPRODUCT('Financial Model &amp; DCF'!$I$158:$R$158,(1+$A12)^-('Financial Model &amp; DCF'!$I$148:$R$148))+'Financial Model &amp; DCF'!$R$156*(1+C$7)/($A12-C$7)*(1+$A12)^-'Financial Model &amp; DCF'!$R$148-('Financial Model &amp; DCF'!$H$52-'Financial Model &amp; DCF'!$H$44))/'Financial Model &amp; DCF'!$D$136</f>
        <v>199.189549362364</v>
      </c>
      <c r="D12" s="49" t="n">
        <f aca="false">(SUMPRODUCT('Financial Model &amp; DCF'!$I$158:$R$158,(1+$A12)^-('Financial Model &amp; DCF'!$I$148:$R$148))+'Financial Model &amp; DCF'!$R$156*(1+D$7)/($A12-D$7)*(1+$A12)^-'Financial Model &amp; DCF'!$R$148-('Financial Model &amp; DCF'!$H$52-'Financial Model &amp; DCF'!$H$44))/'Financial Model &amp; DCF'!$D$136</f>
        <v>204.185792295262</v>
      </c>
      <c r="E12" s="49" t="n">
        <f aca="false">(SUMPRODUCT('Financial Model &amp; DCF'!$I$158:$R$158,(1+$A12)^-('Financial Model &amp; DCF'!$I$148:$R$148))+'Financial Model &amp; DCF'!$R$156*(1+E$7)/($A12-E$7)*(1+$A12)^-'Financial Model &amp; DCF'!$R$148-('Financial Model &amp; DCF'!$H$52-'Financial Model &amp; DCF'!$H$44))/'Financial Model &amp; DCF'!$D$136</f>
        <v>209.588895401849</v>
      </c>
      <c r="F12" s="49" t="n">
        <f aca="false">(SUMPRODUCT('Financial Model &amp; DCF'!$I$158:$R$158,(1+$A12)^-('Financial Model &amp; DCF'!$I$148:$R$148))+'Financial Model &amp; DCF'!$R$156*(1+F$7)/($A12-F$7)*(1+$A12)^-'Financial Model &amp; DCF'!$R$148-('Financial Model &amp; DCF'!$H$52-'Financial Model &amp; DCF'!$H$44))/'Financial Model &amp; DCF'!$D$136</f>
        <v>215.450666004751</v>
      </c>
    </row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6.15" hidden="false" customHeight="false" outlineLevel="0" collapsed="false">
      <c r="A15" s="15" t="s">
        <v>286</v>
      </c>
      <c r="B15" s="16"/>
      <c r="C15" s="16"/>
      <c r="D15" s="16"/>
      <c r="E15" s="16"/>
      <c r="F15" s="16"/>
      <c r="G15" s="16"/>
      <c r="H15" s="16"/>
      <c r="I15" s="16"/>
      <c r="J15" s="16"/>
    </row>
    <row r="16" customFormat="false" ht="13.8" hidden="false" customHeight="false" outlineLevel="0" collapsed="false"/>
    <row r="17" customFormat="false" ht="13.8" hidden="false" customHeight="false" outlineLevel="0" collapsed="false">
      <c r="B17" s="51" t="n">
        <f aca="false">'Financial Model &amp; DCF'!$D$139+-1</f>
        <v>16</v>
      </c>
      <c r="C17" s="51" t="n">
        <f aca="false">'Financial Model &amp; DCF'!$D$139+-0.5</f>
        <v>16.5</v>
      </c>
      <c r="D17" s="51" t="n">
        <f aca="false">'Financial Model &amp; DCF'!$D$139+0</f>
        <v>17</v>
      </c>
      <c r="E17" s="51" t="n">
        <f aca="false">'Financial Model &amp; DCF'!$D$139+0.5</f>
        <v>17.5</v>
      </c>
      <c r="F17" s="51" t="n">
        <f aca="false">'Financial Model &amp; DCF'!$D$139+1</f>
        <v>18</v>
      </c>
    </row>
    <row r="18" customFormat="false" ht="13.8" hidden="false" customHeight="false" outlineLevel="0" collapsed="false">
      <c r="A18" s="44" t="n">
        <f aca="false">'Financial Model &amp; DCF'!$R$149+-0.02</f>
        <v>0.0671</v>
      </c>
      <c r="B18" s="49" t="n">
        <f aca="false">(SUMPRODUCT('Financial Model &amp; DCF'!$I$158:$R$158,(1+$A18)^-('Financial Model &amp; DCF'!$I$148:$R$148))+B$17*('Financial Model &amp; DCF'!$R$151+'Financial Model &amp; DCF'!$R$153)*(1+$A18)^-'Financial Model &amp; DCF'!$R$148-('Financial Model &amp; DCF'!$H$52-'Financial Model &amp; DCF'!$H$44))/'Financial Model &amp; DCF'!$D$136</f>
        <v>356.945914601405</v>
      </c>
      <c r="C18" s="49" t="n">
        <f aca="false">(SUMPRODUCT('Financial Model &amp; DCF'!$I$158:$R$158,(1+$A18)^-('Financial Model &amp; DCF'!$I$148:$R$148))+C$17*('Financial Model &amp; DCF'!$R$151+'Financial Model &amp; DCF'!$R$153)*(1+$A18)^-'Financial Model &amp; DCF'!$R$148-('Financial Model &amp; DCF'!$H$52-'Financial Model &amp; DCF'!$H$44))/'Financial Model &amp; DCF'!$D$136</f>
        <v>365.130550675511</v>
      </c>
      <c r="D18" s="49" t="n">
        <f aca="false">(SUMPRODUCT('Financial Model &amp; DCF'!$I$158:$R$158,(1+$A18)^-('Financial Model &amp; DCF'!$I$148:$R$148))+D$17*('Financial Model &amp; DCF'!$R$151+'Financial Model &amp; DCF'!$R$153)*(1+$A18)^-'Financial Model &amp; DCF'!$R$148-('Financial Model &amp; DCF'!$H$52-'Financial Model &amp; DCF'!$H$44))/'Financial Model &amp; DCF'!$D$136</f>
        <v>373.315186749617</v>
      </c>
      <c r="E18" s="49" t="n">
        <f aca="false">(SUMPRODUCT('Financial Model &amp; DCF'!$I$158:$R$158,(1+$A18)^-('Financial Model &amp; DCF'!$I$148:$R$148))+E$17*('Financial Model &amp; DCF'!$R$151+'Financial Model &amp; DCF'!$R$153)*(1+$A18)^-'Financial Model &amp; DCF'!$R$148-('Financial Model &amp; DCF'!$H$52-'Financial Model &amp; DCF'!$H$44))/'Financial Model &amp; DCF'!$D$136</f>
        <v>381.499822823723</v>
      </c>
      <c r="F18" s="49" t="n">
        <f aca="false">(SUMPRODUCT('Financial Model &amp; DCF'!$I$158:$R$158,(1+$A18)^-('Financial Model &amp; DCF'!$I$148:$R$148))+F$17*('Financial Model &amp; DCF'!$R$151+'Financial Model &amp; DCF'!$R$153)*(1+$A18)^-'Financial Model &amp; DCF'!$R$148-('Financial Model &amp; DCF'!$H$52-'Financial Model &amp; DCF'!$H$44))/'Financial Model &amp; DCF'!$D$136</f>
        <v>389.684458897829</v>
      </c>
    </row>
    <row r="19" customFormat="false" ht="13.8" hidden="false" customHeight="false" outlineLevel="0" collapsed="false">
      <c r="A19" s="44" t="n">
        <f aca="false">'Financial Model &amp; DCF'!$R$149+-0.01</f>
        <v>0.0771</v>
      </c>
      <c r="B19" s="49" t="n">
        <f aca="false">(SUMPRODUCT('Financial Model &amp; DCF'!$I$158:$R$158,(1+$A19)^-('Financial Model &amp; DCF'!$I$148:$R$148))+B$17*('Financial Model &amp; DCF'!$R$151+'Financial Model &amp; DCF'!$R$153)*(1+$A19)^-'Financial Model &amp; DCF'!$R$148-('Financial Model &amp; DCF'!$H$52-'Financial Model &amp; DCF'!$H$44))/'Financial Model &amp; DCF'!$D$136</f>
        <v>330.407614612594</v>
      </c>
      <c r="C19" s="49" t="n">
        <f aca="false">(SUMPRODUCT('Financial Model &amp; DCF'!$I$158:$R$158,(1+$A19)^-('Financial Model &amp; DCF'!$I$148:$R$148))+C$17*('Financial Model &amp; DCF'!$R$151+'Financial Model &amp; DCF'!$R$153)*(1+$A19)^-'Financial Model &amp; DCF'!$R$148-('Financial Model &amp; DCF'!$H$52-'Financial Model &amp; DCF'!$H$44))/'Financial Model &amp; DCF'!$D$136</f>
        <v>337.900976257266</v>
      </c>
      <c r="D19" s="49" t="n">
        <f aca="false">(SUMPRODUCT('Financial Model &amp; DCF'!$I$158:$R$158,(1+$A19)^-('Financial Model &amp; DCF'!$I$148:$R$148))+D$17*('Financial Model &amp; DCF'!$R$151+'Financial Model &amp; DCF'!$R$153)*(1+$A19)^-'Financial Model &amp; DCF'!$R$148-('Financial Model &amp; DCF'!$H$52-'Financial Model &amp; DCF'!$H$44))/'Financial Model &amp; DCF'!$D$136</f>
        <v>345.394337901937</v>
      </c>
      <c r="E19" s="49" t="n">
        <f aca="false">(SUMPRODUCT('Financial Model &amp; DCF'!$I$158:$R$158,(1+$A19)^-('Financial Model &amp; DCF'!$I$148:$R$148))+E$17*('Financial Model &amp; DCF'!$R$151+'Financial Model &amp; DCF'!$R$153)*(1+$A19)^-'Financial Model &amp; DCF'!$R$148-('Financial Model &amp; DCF'!$H$52-'Financial Model &amp; DCF'!$H$44))/'Financial Model &amp; DCF'!$D$136</f>
        <v>352.887699546609</v>
      </c>
      <c r="F19" s="49" t="n">
        <f aca="false">(SUMPRODUCT('Financial Model &amp; DCF'!$I$158:$R$158,(1+$A19)^-('Financial Model &amp; DCF'!$I$148:$R$148))+F$17*('Financial Model &amp; DCF'!$R$151+'Financial Model &amp; DCF'!$R$153)*(1+$A19)^-'Financial Model &amp; DCF'!$R$148-('Financial Model &amp; DCF'!$H$52-'Financial Model &amp; DCF'!$H$44))/'Financial Model &amp; DCF'!$D$136</f>
        <v>360.381061191281</v>
      </c>
    </row>
    <row r="20" customFormat="false" ht="13.8" hidden="false" customHeight="false" outlineLevel="0" collapsed="false">
      <c r="A20" s="44" t="n">
        <f aca="false">'Financial Model &amp; DCF'!$R$149+0</f>
        <v>0.0871</v>
      </c>
      <c r="B20" s="49" t="n">
        <f aca="false">(SUMPRODUCT('Financial Model &amp; DCF'!$I$158:$R$158,(1+$A20)^-('Financial Model &amp; DCF'!$I$148:$R$148))+B$17*('Financial Model &amp; DCF'!$R$151+'Financial Model &amp; DCF'!$R$153)*(1+$A20)^-'Financial Model &amp; DCF'!$R$148-('Financial Model &amp; DCF'!$H$52-'Financial Model &amp; DCF'!$H$44))/'Financial Model &amp; DCF'!$D$136</f>
        <v>306.230070975498</v>
      </c>
      <c r="C20" s="49" t="n">
        <f aca="false">(SUMPRODUCT('Financial Model &amp; DCF'!$I$158:$R$158,(1+$A20)^-('Financial Model &amp; DCF'!$I$148:$R$148))+C$17*('Financial Model &amp; DCF'!$R$151+'Financial Model &amp; DCF'!$R$153)*(1+$A20)^-'Financial Model &amp; DCF'!$R$148-('Financial Model &amp; DCF'!$H$52-'Financial Model &amp; DCF'!$H$44))/'Financial Model &amp; DCF'!$D$136</f>
        <v>313.096140056515</v>
      </c>
      <c r="D20" s="50" t="n">
        <f aca="false">(SUMPRODUCT('Financial Model &amp; DCF'!$I$158:$R$158,(1+$A20)^-('Financial Model &amp; DCF'!$I$148:$R$148))+D$17*('Financial Model &amp; DCF'!$R$151+'Financial Model &amp; DCF'!$R$153)*(1+$A20)^-'Financial Model &amp; DCF'!$R$148-('Financial Model &amp; DCF'!$H$52-'Financial Model &amp; DCF'!$H$44))/'Financial Model &amp; DCF'!$D$136</f>
        <v>319.962209137531</v>
      </c>
      <c r="E20" s="49" t="n">
        <f aca="false">(SUMPRODUCT('Financial Model &amp; DCF'!$I$158:$R$158,(1+$A20)^-('Financial Model &amp; DCF'!$I$148:$R$148))+E$17*('Financial Model &amp; DCF'!$R$151+'Financial Model &amp; DCF'!$R$153)*(1+$A20)^-'Financial Model &amp; DCF'!$R$148-('Financial Model &amp; DCF'!$H$52-'Financial Model &amp; DCF'!$H$44))/'Financial Model &amp; DCF'!$D$136</f>
        <v>326.828278218548</v>
      </c>
      <c r="F20" s="49" t="n">
        <f aca="false">(SUMPRODUCT('Financial Model &amp; DCF'!$I$158:$R$158,(1+$A20)^-('Financial Model &amp; DCF'!$I$148:$R$148))+F$17*('Financial Model &amp; DCF'!$R$151+'Financial Model &amp; DCF'!$R$153)*(1+$A20)^-'Financial Model &amp; DCF'!$R$148-('Financial Model &amp; DCF'!$H$52-'Financial Model &amp; DCF'!$H$44))/'Financial Model &amp; DCF'!$D$136</f>
        <v>333.694347299564</v>
      </c>
    </row>
    <row r="21" customFormat="false" ht="13.8" hidden="false" customHeight="false" outlineLevel="0" collapsed="false">
      <c r="A21" s="44" t="n">
        <f aca="false">'Financial Model &amp; DCF'!$R$149+0.01</f>
        <v>0.0971</v>
      </c>
      <c r="B21" s="49" t="n">
        <f aca="false">(SUMPRODUCT('Financial Model &amp; DCF'!$I$158:$R$158,(1+$A21)^-('Financial Model &amp; DCF'!$I$148:$R$148))+B$17*('Financial Model &amp; DCF'!$R$151+'Financial Model &amp; DCF'!$R$153)*(1+$A21)^-'Financial Model &amp; DCF'!$R$148-('Financial Model &amp; DCF'!$H$52-'Financial Model &amp; DCF'!$H$44))/'Financial Model &amp; DCF'!$D$136</f>
        <v>284.181201922767</v>
      </c>
      <c r="C21" s="49" t="n">
        <f aca="false">(SUMPRODUCT('Financial Model &amp; DCF'!$I$158:$R$158,(1+$A21)^-('Financial Model &amp; DCF'!$I$148:$R$148))+C$17*('Financial Model &amp; DCF'!$R$151+'Financial Model &amp; DCF'!$R$153)*(1+$A21)^-'Financial Model &amp; DCF'!$R$148-('Financial Model &amp; DCF'!$H$52-'Financial Model &amp; DCF'!$H$44))/'Financial Model &amp; DCF'!$D$136</f>
        <v>290.4775294936</v>
      </c>
      <c r="D21" s="49" t="n">
        <f aca="false">(SUMPRODUCT('Financial Model &amp; DCF'!$I$158:$R$158,(1+$A21)^-('Financial Model &amp; DCF'!$I$148:$R$148))+D$17*('Financial Model &amp; DCF'!$R$151+'Financial Model &amp; DCF'!$R$153)*(1+$A21)^-'Financial Model &amp; DCF'!$R$148-('Financial Model &amp; DCF'!$H$52-'Financial Model &amp; DCF'!$H$44))/'Financial Model &amp; DCF'!$D$136</f>
        <v>296.773857064433</v>
      </c>
      <c r="E21" s="49" t="n">
        <f aca="false">(SUMPRODUCT('Financial Model &amp; DCF'!$I$158:$R$158,(1+$A21)^-('Financial Model &amp; DCF'!$I$148:$R$148))+E$17*('Financial Model &amp; DCF'!$R$151+'Financial Model &amp; DCF'!$R$153)*(1+$A21)^-'Financial Model &amp; DCF'!$R$148-('Financial Model &amp; DCF'!$H$52-'Financial Model &amp; DCF'!$H$44))/'Financial Model &amp; DCF'!$D$136</f>
        <v>303.070184635266</v>
      </c>
      <c r="F21" s="49" t="n">
        <f aca="false">(SUMPRODUCT('Financial Model &amp; DCF'!$I$158:$R$158,(1+$A21)^-('Financial Model &amp; DCF'!$I$148:$R$148))+F$17*('Financial Model &amp; DCF'!$R$151+'Financial Model &amp; DCF'!$R$153)*(1+$A21)^-'Financial Model &amp; DCF'!$R$148-('Financial Model &amp; DCF'!$H$52-'Financial Model &amp; DCF'!$H$44))/'Financial Model &amp; DCF'!$D$136</f>
        <v>309.366512206099</v>
      </c>
    </row>
    <row r="22" customFormat="false" ht="13.8" hidden="false" customHeight="false" outlineLevel="0" collapsed="false">
      <c r="A22" s="44" t="n">
        <f aca="false">'Financial Model &amp; DCF'!$R$149+0.02</f>
        <v>0.1071</v>
      </c>
      <c r="B22" s="49" t="n">
        <f aca="false">(SUMPRODUCT('Financial Model &amp; DCF'!$I$158:$R$158,(1+$A22)^-('Financial Model &amp; DCF'!$I$148:$R$148))+B$17*('Financial Model &amp; DCF'!$R$151+'Financial Model &amp; DCF'!$R$153)*(1+$A22)^-'Financial Model &amp; DCF'!$R$148-('Financial Model &amp; DCF'!$H$52-'Financial Model &amp; DCF'!$H$44))/'Financial Model &amp; DCF'!$D$136</f>
        <v>264.053712354213</v>
      </c>
      <c r="C22" s="49" t="n">
        <f aca="false">(SUMPRODUCT('Financial Model &amp; DCF'!$I$158:$R$158,(1+$A22)^-('Financial Model &amp; DCF'!$I$148:$R$148))+C$17*('Financial Model &amp; DCF'!$R$151+'Financial Model &amp; DCF'!$R$153)*(1+$A22)^-'Financial Model &amp; DCF'!$R$148-('Financial Model &amp; DCF'!$H$52-'Financial Model &amp; DCF'!$H$44))/'Financial Model &amp; DCF'!$D$136</f>
        <v>269.832115269665</v>
      </c>
      <c r="D22" s="49" t="n">
        <f aca="false">(SUMPRODUCT('Financial Model &amp; DCF'!$I$158:$R$158,(1+$A22)^-('Financial Model &amp; DCF'!$I$148:$R$148))+D$17*('Financial Model &amp; DCF'!$R$151+'Financial Model &amp; DCF'!$R$153)*(1+$A22)^-'Financial Model &amp; DCF'!$R$148-('Financial Model &amp; DCF'!$H$52-'Financial Model &amp; DCF'!$H$44))/'Financial Model &amp; DCF'!$D$136</f>
        <v>275.610518185117</v>
      </c>
      <c r="E22" s="49" t="n">
        <f aca="false">(SUMPRODUCT('Financial Model &amp; DCF'!$I$158:$R$158,(1+$A22)^-('Financial Model &amp; DCF'!$I$148:$R$148))+E$17*('Financial Model &amp; DCF'!$R$151+'Financial Model &amp; DCF'!$R$153)*(1+$A22)^-'Financial Model &amp; DCF'!$R$148-('Financial Model &amp; DCF'!$H$52-'Financial Model &amp; DCF'!$H$44))/'Financial Model &amp; DCF'!$D$136</f>
        <v>281.388921100569</v>
      </c>
      <c r="F22" s="49" t="n">
        <f aca="false">(SUMPRODUCT('Financial Model &amp; DCF'!$I$158:$R$158,(1+$A22)^-('Financial Model &amp; DCF'!$I$148:$R$148))+F$17*('Financial Model &amp; DCF'!$R$151+'Financial Model &amp; DCF'!$R$153)*(1+$A22)^-'Financial Model &amp; DCF'!$R$148-('Financial Model &amp; DCF'!$H$52-'Financial Model &amp; DCF'!$H$44))/'Financial Model &amp; DCF'!$D$136</f>
        <v>287.167324016022</v>
      </c>
    </row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6.15" hidden="false" customHeight="false" outlineLevel="0" collapsed="false">
      <c r="A25" s="15" t="s">
        <v>287</v>
      </c>
      <c r="B25" s="16"/>
      <c r="C25" s="16"/>
      <c r="D25" s="16"/>
      <c r="E25" s="16"/>
      <c r="F25" s="16"/>
      <c r="G25" s="16"/>
      <c r="H25" s="16"/>
      <c r="I25" s="16"/>
      <c r="J25" s="16"/>
    </row>
    <row r="26" customFormat="false" ht="13.8" hidden="false" customHeight="false" outlineLevel="0" collapsed="false">
      <c r="A26" s="1" t="s">
        <v>288</v>
      </c>
    </row>
    <row r="27" customFormat="false" ht="13.8" hidden="false" customHeight="false" outlineLevel="0" collapsed="false"/>
    <row r="28" customFormat="false" ht="13.8" hidden="false" customHeight="false" outlineLevel="0" collapsed="false">
      <c r="B28" s="52" t="n">
        <v>0.7</v>
      </c>
      <c r="C28" s="52" t="n">
        <v>0.85</v>
      </c>
      <c r="D28" s="52" t="n">
        <v>1</v>
      </c>
      <c r="E28" s="52" t="n">
        <v>1.15</v>
      </c>
      <c r="F28" s="52" t="n">
        <v>1.3</v>
      </c>
    </row>
    <row r="29" customFormat="false" ht="13.8" hidden="false" customHeight="false" outlineLevel="0" collapsed="false">
      <c r="A29" s="44" t="n">
        <f aca="false">'Financial Model &amp; DCF'!$R$149+-0.02</f>
        <v>0.0671</v>
      </c>
      <c r="B29" s="49" t="n">
        <f aca="false">(B$28*(SUMPRODUCT('Financial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333.037938696641</v>
      </c>
      <c r="C29" s="49" t="n">
        <f aca="false">(C$28*(SUMPRODUCT('Financial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401.989480689244</v>
      </c>
      <c r="D29" s="49" t="n">
        <f aca="false">(D$28*(SUMPRODUCT('Financial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470.941022681848</v>
      </c>
      <c r="E29" s="49" t="n">
        <f aca="false">(E$28*(SUMPRODUCT('Financial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539.892564674452</v>
      </c>
      <c r="F29" s="49" t="n">
        <f aca="false">(F$28*(SUMPRODUCT('Financial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608.844106667056</v>
      </c>
    </row>
    <row r="30" customFormat="false" ht="13.8" hidden="false" customHeight="false" outlineLevel="0" collapsed="false">
      <c r="A30" s="44" t="n">
        <f aca="false">'Financial Model &amp; DCF'!$R$149+-0.01</f>
        <v>0.0771</v>
      </c>
      <c r="B30" s="49" t="n">
        <f aca="false">(B$28*(SUMPRODUCT('Financial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262.961257506352</v>
      </c>
      <c r="C30" s="49" t="n">
        <f aca="false">(C$28*(SUMPRODUCT('Financial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316.896367815323</v>
      </c>
      <c r="D30" s="49" t="n">
        <f aca="false">(D$28*(SUMPRODUCT('Financial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370.831478124294</v>
      </c>
      <c r="E30" s="49" t="n">
        <f aca="false">(E$28*(SUMPRODUCT('Financial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424.766588433264</v>
      </c>
      <c r="F30" s="49" t="n">
        <f aca="false">(F$28*(SUMPRODUCT('Financial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478.701698742235</v>
      </c>
    </row>
    <row r="31" customFormat="false" ht="13.8" hidden="false" customHeight="false" outlineLevel="0" collapsed="false">
      <c r="A31" s="44" t="n">
        <f aca="false">'Financial Model &amp; DCF'!$R$149+0</f>
        <v>0.0871</v>
      </c>
      <c r="B31" s="49" t="n">
        <f aca="false">(B$28*(SUMPRODUCT('Financial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221.339783646807</v>
      </c>
      <c r="C31" s="49" t="n">
        <f aca="false">(C$28*(SUMPRODUCT('Financial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266.356006700161</v>
      </c>
      <c r="D31" s="50" t="n">
        <f aca="false">(D$28*(SUMPRODUCT('Financial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311.372229753515</v>
      </c>
      <c r="E31" s="49" t="n">
        <f aca="false">(E$28*(SUMPRODUCT('Financial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356.388452806869</v>
      </c>
      <c r="F31" s="49" t="n">
        <f aca="false">(F$28*(SUMPRODUCT('Financial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401.404675860223</v>
      </c>
    </row>
    <row r="32" customFormat="false" ht="13.8" hidden="false" customHeight="false" outlineLevel="0" collapsed="false">
      <c r="A32" s="44" t="n">
        <f aca="false">'Financial Model &amp; DCF'!$R$149+0.01</f>
        <v>0.0971</v>
      </c>
      <c r="B32" s="49" t="n">
        <f aca="false">(B$28*(SUMPRODUCT('Financial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192.728919058502</v>
      </c>
      <c r="C32" s="49" t="n">
        <f aca="false">(C$28*(SUMPRODUCT('Financial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231.614242557219</v>
      </c>
      <c r="D32" s="49" t="n">
        <f aca="false">(D$28*(SUMPRODUCT('Financial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270.499566055937</v>
      </c>
      <c r="E32" s="49" t="n">
        <f aca="false">(E$28*(SUMPRODUCT('Financial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309.384889554654</v>
      </c>
      <c r="F32" s="49" t="n">
        <f aca="false">(F$28*(SUMPRODUCT('Financial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348.270213053371</v>
      </c>
    </row>
    <row r="33" customFormat="false" ht="13.8" hidden="false" customHeight="false" outlineLevel="0" collapsed="false">
      <c r="A33" s="44" t="n">
        <f aca="false">'Financial Model &amp; DCF'!$R$149+0.02</f>
        <v>0.1071</v>
      </c>
      <c r="B33" s="49" t="n">
        <f aca="false">(B$28*(SUMPRODUCT('Financial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171.30793148748</v>
      </c>
      <c r="C33" s="49" t="n">
        <f aca="false">(C$28*(SUMPRODUCT('Financial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205.603043363835</v>
      </c>
      <c r="D33" s="49" t="n">
        <f aca="false">(D$28*(SUMPRODUCT('Financial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239.89815524019</v>
      </c>
      <c r="E33" s="49" t="n">
        <f aca="false">(E$28*(SUMPRODUCT('Financial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274.193267116545</v>
      </c>
      <c r="F33" s="49" t="n">
        <f aca="false">(F$28*(SUMPRODUCT('Financial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308.4883789929</v>
      </c>
    </row>
    <row r="34" customFormat="false" ht="13.8" hidden="false" customHeight="false" outlineLevel="0" collapsed="false"/>
    <row r="35" customFormat="false" ht="16.15" hidden="false" customHeight="false" outlineLevel="0" collapsed="false">
      <c r="A35" s="15" t="s">
        <v>289</v>
      </c>
      <c r="B35" s="16"/>
      <c r="C35" s="16"/>
      <c r="D35" s="16"/>
      <c r="E35" s="16"/>
      <c r="F35" s="16"/>
      <c r="G35" s="16"/>
      <c r="H35" s="16"/>
      <c r="I35" s="16"/>
      <c r="J35" s="16"/>
    </row>
    <row r="36" customFormat="false" ht="13.8" hidden="false" customHeight="false" outlineLevel="0" collapsed="false">
      <c r="A36" s="1" t="s">
        <v>290</v>
      </c>
    </row>
    <row r="37" customFormat="false" ht="13.8" hidden="false" customHeight="false" outlineLevel="0" collapsed="false"/>
    <row r="38" customFormat="false" ht="13.8" hidden="false" customHeight="false" outlineLevel="0" collapsed="false">
      <c r="B38" s="53" t="s">
        <v>291</v>
      </c>
      <c r="C38" s="54" t="n">
        <f aca="false">YEAR('Financial Model &amp; DCF'!I$145)</f>
        <v>2026</v>
      </c>
      <c r="D38" s="54" t="n">
        <f aca="false">YEAR('Financial Model &amp; DCF'!J$145)</f>
        <v>2027</v>
      </c>
      <c r="E38" s="54" t="n">
        <f aca="false">YEAR('Financial Model &amp; DCF'!K$145)</f>
        <v>2028</v>
      </c>
      <c r="F38" s="54" t="n">
        <f aca="false">YEAR('Financial Model &amp; DCF'!L$145)</f>
        <v>2029</v>
      </c>
      <c r="G38" s="54" t="n">
        <f aca="false">YEAR('Financial Model &amp; DCF'!M$145)</f>
        <v>2030</v>
      </c>
      <c r="H38" s="54" t="n">
        <f aca="false">YEAR('Financial Model &amp; DCF'!N$145)</f>
        <v>2031</v>
      </c>
      <c r="I38" s="54" t="n">
        <f aca="false">YEAR('Financial Model &amp; DCF'!O$145)</f>
        <v>2032</v>
      </c>
      <c r="J38" s="54" t="n">
        <f aca="false">YEAR('Financial Model &amp; DCF'!P$145)</f>
        <v>2033</v>
      </c>
      <c r="K38" s="54" t="n">
        <f aca="false">YEAR('Financial Model &amp; DCF'!Q$145)</f>
        <v>2034</v>
      </c>
      <c r="L38" s="54" t="n">
        <f aca="false">YEAR('Financial Model &amp; DCF'!R$145)</f>
        <v>2035</v>
      </c>
      <c r="N38" s="2" t="s">
        <v>292</v>
      </c>
      <c r="O38" s="2" t="s">
        <v>293</v>
      </c>
      <c r="P38" s="2" t="s">
        <v>218</v>
      </c>
    </row>
    <row r="39" customFormat="false" ht="13.8" hidden="false" customHeight="false" outlineLevel="0" collapsed="false">
      <c r="A39" s="1" t="s">
        <v>294</v>
      </c>
      <c r="B39" s="41" t="n">
        <f aca="false">SUMPRODUCT('Financial Model &amp; DCF'!$I$158:$R$158,(1+$N39)^-('Financial Model &amp; DCF'!$I$148:$R$148))+(('Financial Model &amp; DCF'!$R$156*(1+$O39)/($N39-$O39)+'Financial Model &amp; DCF'!$D$139*('Financial Model &amp; DCF'!$R$151+'Financial Model &amp; DCF'!$R$153))/2)*(1+$N39)^-'Financial Model &amp; DCF'!$R$148</f>
        <v>2707.09228386588</v>
      </c>
      <c r="C39" s="41" t="n">
        <f aca="false">B39*(1+$N39)^'Financial Model &amp; DCF'!I$147-'Financial Model &amp; DCF'!I$158</f>
        <v>2811.92435056121</v>
      </c>
      <c r="D39" s="41" t="n">
        <f aca="false">C39*(1+$N39)^'Financial Model &amp; DCF'!J$147-'Financial Model &amp; DCF'!J$158</f>
        <v>3039.97211762461</v>
      </c>
      <c r="E39" s="41" t="n">
        <f aca="false">D39*(1+$N39)^'Financial Model &amp; DCF'!K$147-'Financial Model &amp; DCF'!K$158</f>
        <v>3271.82304677242</v>
      </c>
      <c r="F39" s="41" t="n">
        <f aca="false">E39*(1+$N39)^'Financial Model &amp; DCF'!L$147-'Financial Model &amp; DCF'!L$158</f>
        <v>3503.07248416392</v>
      </c>
      <c r="G39" s="41" t="n">
        <f aca="false">F39*(1+$N39)^'Financial Model &amp; DCF'!M$147-'Financial Model &amp; DCF'!M$158</f>
        <v>3733.73405848018</v>
      </c>
      <c r="H39" s="41" t="n">
        <f aca="false">G39*(1+$N39)^'Financial Model &amp; DCF'!N$147-'Financial Model &amp; DCF'!N$158</f>
        <v>3964.36461324843</v>
      </c>
      <c r="I39" s="41" t="n">
        <f aca="false">H39*(1+$N39)^'Financial Model &amp; DCF'!O$147-'Financial Model &amp; DCF'!O$158</f>
        <v>4195.87608276242</v>
      </c>
      <c r="J39" s="41" t="n">
        <f aca="false">I39*(1+$N39)^'Financial Model &amp; DCF'!P$147-'Financial Model &amp; DCF'!P$158</f>
        <v>4433.47071833994</v>
      </c>
      <c r="K39" s="41" t="n">
        <f aca="false">J39*(1+$N39)^'Financial Model &amp; DCF'!Q$147-'Financial Model &amp; DCF'!Q$158</f>
        <v>4679.67521970315</v>
      </c>
      <c r="L39" s="41" t="n">
        <f aca="false">K39*(1+$N39)^'Financial Model &amp; DCF'!R$147-'Financial Model &amp; DCF'!R$158</f>
        <v>4938.31288814922</v>
      </c>
      <c r="N39" s="31" t="n">
        <f aca="false">'Financial Model &amp; DCF'!$R$149+0.02</f>
        <v>0.1071</v>
      </c>
      <c r="O39" s="31" t="n">
        <f aca="false">'Financial Model &amp; DCF'!$D$138+-0.005</f>
        <v>0.0382</v>
      </c>
      <c r="P39" s="21" t="n">
        <v>0.25</v>
      </c>
    </row>
    <row r="40" customFormat="false" ht="13.8" hidden="false" customHeight="false" outlineLevel="0" collapsed="false">
      <c r="A40" s="2" t="s">
        <v>220</v>
      </c>
      <c r="B40" s="25" t="n">
        <f aca="false">(B39-('Financial Model &amp; DCF'!$H$52-'Financial Model &amp; DCF'!$H$44))/'Financial Model &amp; DCF'!$D$136</f>
        <v>235.083198335335</v>
      </c>
      <c r="C40" s="25" t="n">
        <f aca="false">(C39-('Financial Model &amp; DCF'!$H$52-'Financial Model &amp; DCF'!$H$44))/'Financial Model &amp; DCF'!$D$136</f>
        <v>243.750587065829</v>
      </c>
      <c r="D40" s="25" t="n">
        <f aca="false">(D39-('Financial Model &amp; DCF'!$H$52-'Financial Model &amp; DCF'!$H$44))/'Financial Model &amp; DCF'!$D$136</f>
        <v>262.605301167805</v>
      </c>
      <c r="E40" s="25" t="n">
        <f aca="false">(E39-('Financial Model &amp; DCF'!$H$52-'Financial Model &amp; DCF'!$H$44))/'Financial Model &amp; DCF'!$D$136</f>
        <v>281.774456120085</v>
      </c>
      <c r="F40" s="25" t="n">
        <f aca="false">(F39-('Financial Model &amp; DCF'!$H$52-'Financial Model &amp; DCF'!$H$44))/'Financial Model &amp; DCF'!$D$136</f>
        <v>300.893880460018</v>
      </c>
      <c r="G40" s="25" t="n">
        <f aca="false">(G39-('Financial Model &amp; DCF'!$H$52-'Financial Model &amp; DCF'!$H$44))/'Financial Model &amp; DCF'!$D$136</f>
        <v>319.964700990507</v>
      </c>
      <c r="H40" s="25" t="n">
        <f aca="false">(H39-('Financial Model &amp; DCF'!$H$52-'Financial Model &amp; DCF'!$H$44))/'Financial Model &amp; DCF'!$D$136</f>
        <v>339.03295686221</v>
      </c>
      <c r="I40" s="25" t="n">
        <f aca="false">(I39-('Financial Model &amp; DCF'!$H$52-'Financial Model &amp; DCF'!$H$44))/'Financial Model &amp; DCF'!$D$136</f>
        <v>358.174045701729</v>
      </c>
      <c r="J40" s="25" t="n">
        <f aca="false">(J39-('Financial Model &amp; DCF'!$H$52-'Financial Model &amp; DCF'!$H$44))/'Financial Model &amp; DCF'!$D$136</f>
        <v>377.818083368329</v>
      </c>
      <c r="K40" s="25" t="n">
        <f aca="false">(K39-('Financial Model &amp; DCF'!$H$52-'Financial Model &amp; DCF'!$H$44))/'Financial Model &amp; DCF'!$D$136</f>
        <v>398.173974345031</v>
      </c>
      <c r="L40" s="25" t="n">
        <f aca="false">(L39-('Financial Model &amp; DCF'!$H$52-'Financial Model &amp; DCF'!$H$44))/'Financial Model &amp; DCF'!$D$136</f>
        <v>419.557824567938</v>
      </c>
    </row>
    <row r="41" customFormat="false" ht="13.8" hidden="false" customHeight="false" outlineLevel="0" collapsed="false">
      <c r="A41" s="1" t="s">
        <v>295</v>
      </c>
      <c r="B41" s="41" t="n">
        <f aca="false">SUMPRODUCT('Financial Model &amp; DCF'!$I$158:$R$158,(1+$N41)^-('Financial Model &amp; DCF'!$I$148:$R$148))+(('Financial Model &amp; DCF'!$R$156*(1+$O41)/($N41-$O41)+'Financial Model &amp; DCF'!$D$139*('Financial Model &amp; DCF'!$R$151+'Financial Model &amp; DCF'!$R$153))/2)*(1+$N41)^-'Financial Model &amp; DCF'!$R$148</f>
        <v>3629.80811886876</v>
      </c>
      <c r="C41" s="41" t="n">
        <f aca="false">B41*(1+$N41)^'Financial Model &amp; DCF'!I$147-'Financial Model &amp; DCF'!I$158</f>
        <v>3747.09449682895</v>
      </c>
      <c r="D41" s="41" t="n">
        <f aca="false">C41*(1+$N41)^'Financial Model &amp; DCF'!J$147-'Financial Model &amp; DCF'!J$158</f>
        <v>4000.35709662105</v>
      </c>
      <c r="E41" s="41" t="n">
        <f aca="false">D41*(1+$N41)^'Financial Model &amp; DCF'!K$147-'Financial Model &amp; DCF'!K$158</f>
        <v>4255.05811508696</v>
      </c>
      <c r="F41" s="41" t="n">
        <f aca="false">E41*(1+$N41)^'Financial Model &amp; DCF'!L$147-'Financial Model &amp; DCF'!L$158</f>
        <v>4506.5108659932</v>
      </c>
      <c r="G41" s="41" t="n">
        <f aca="false">F41*(1+$N41)^'Financial Model &amp; DCF'!M$147-'Financial Model &amp; DCF'!M$158</f>
        <v>4754.51047368352</v>
      </c>
      <c r="H41" s="41" t="n">
        <f aca="false">G41*(1+$N41)^'Financial Model &amp; DCF'!N$147-'Financial Model &amp; DCF'!N$158</f>
        <v>4999.37597304637</v>
      </c>
      <c r="I41" s="41" t="n">
        <f aca="false">H41*(1+$N41)^'Financial Model &amp; DCF'!O$147-'Financial Model &amp; DCF'!O$158</f>
        <v>5241.74963973379</v>
      </c>
      <c r="J41" s="41" t="n">
        <f aca="false">I41*(1+$N41)^'Financial Model &amp; DCF'!P$147-'Financial Model &amp; DCF'!P$158</f>
        <v>5486.52234046827</v>
      </c>
      <c r="K41" s="41" t="n">
        <f aca="false">J41*(1+$N41)^'Financial Model &amp; DCF'!Q$147-'Financial Model &amp; DCF'!Q$158</f>
        <v>5735.77822375206</v>
      </c>
      <c r="L41" s="41" t="n">
        <f aca="false">K41*(1+$N41)^'Financial Model &amp; DCF'!R$147-'Financial Model &amp; DCF'!R$158</f>
        <v>5992.80895945673</v>
      </c>
      <c r="N41" s="31" t="n">
        <f aca="false">'Financial Model &amp; DCF'!$R$149</f>
        <v>0.0871</v>
      </c>
      <c r="O41" s="31" t="n">
        <f aca="false">'Financial Model &amp; DCF'!$D$138</f>
        <v>0.0432</v>
      </c>
      <c r="P41" s="21" t="n">
        <v>0.5</v>
      </c>
    </row>
    <row r="42" customFormat="false" ht="13.8" hidden="false" customHeight="false" outlineLevel="0" collapsed="false">
      <c r="A42" s="2" t="s">
        <v>221</v>
      </c>
      <c r="B42" s="25" t="n">
        <f aca="false">(B41-('Financial Model &amp; DCF'!$H$52-'Financial Model &amp; DCF'!$H$44))/'Financial Model &amp; DCF'!$D$136</f>
        <v>311.372229753515</v>
      </c>
      <c r="C42" s="25" t="n">
        <f aca="false">(C41-('Financial Model &amp; DCF'!$H$52-'Financial Model &amp; DCF'!$H$44))/'Financial Model &amp; DCF'!$D$136</f>
        <v>321.069325905659</v>
      </c>
      <c r="D42" s="25" t="n">
        <f aca="false">(D41-('Financial Model &amp; DCF'!$H$52-'Financial Model &amp; DCF'!$H$44))/'Financial Model &amp; DCF'!$D$136</f>
        <v>342.008771940558</v>
      </c>
      <c r="E42" s="25" t="n">
        <f aca="false">(E41-('Financial Model &amp; DCF'!$H$52-'Financial Model &amp; DCF'!$H$44))/'Financial Model &amp; DCF'!$D$136</f>
        <v>363.067144695077</v>
      </c>
      <c r="F42" s="25" t="n">
        <f aca="false">(F41-('Financial Model &amp; DCF'!$H$52-'Financial Model &amp; DCF'!$H$44))/'Financial Model &amp; DCF'!$D$136</f>
        <v>383.856954608781</v>
      </c>
      <c r="G42" s="25" t="n">
        <f aca="false">(G41-('Financial Model &amp; DCF'!$H$52-'Financial Model &amp; DCF'!$H$44))/'Financial Model &amp; DCF'!$D$136</f>
        <v>404.361262809716</v>
      </c>
      <c r="H42" s="25" t="n">
        <f aca="false">(H41-('Financial Model &amp; DCF'!$H$52-'Financial Model &amp; DCF'!$H$44))/'Financial Model &amp; DCF'!$D$136</f>
        <v>424.606446717352</v>
      </c>
      <c r="I42" s="25" t="n">
        <f aca="false">(I41-('Financial Model &amp; DCF'!$H$52-'Financial Model &amp; DCF'!$H$44))/'Financial Model &amp; DCF'!$D$136</f>
        <v>444.6456089073</v>
      </c>
      <c r="J42" s="25" t="n">
        <f aca="false">(J41-('Financial Model &amp; DCF'!$H$52-'Financial Model &amp; DCF'!$H$44))/'Financial Model &amp; DCF'!$D$136</f>
        <v>464.88312033636</v>
      </c>
      <c r="K42" s="25" t="n">
        <f aca="false">(K41-('Financial Model &amp; DCF'!$H$52-'Financial Model &amp; DCF'!$H$44))/'Financial Model &amp; DCF'!$D$136</f>
        <v>485.491295886901</v>
      </c>
      <c r="L42" s="25" t="n">
        <f aca="false">(L41-('Financial Model &amp; DCF'!$H$52-'Financial Model &amp; DCF'!$H$44))/'Financial Model &amp; DCF'!$D$136</f>
        <v>506.742286850494</v>
      </c>
    </row>
    <row r="43" customFormat="false" ht="13.8" hidden="false" customHeight="false" outlineLevel="0" collapsed="false">
      <c r="A43" s="1" t="s">
        <v>296</v>
      </c>
      <c r="B43" s="41" t="n">
        <f aca="false">SUMPRODUCT('Financial Model &amp; DCF'!$I$158:$R$158,(1+$N43)^-('Financial Model &amp; DCF'!$I$148:$R$148))+(('Financial Model &amp; DCF'!$R$156*(1+$O43)/($N43-$O43)+'Financial Model &amp; DCF'!$D$139*('Financial Model &amp; DCF'!$R$151+'Financial Model &amp; DCF'!$R$153))/2)*(1+$N43)^-'Financial Model &amp; DCF'!$R$148</f>
        <v>6334.73337471725</v>
      </c>
      <c r="C43" s="41" t="n">
        <f aca="false">B43*(1+$N43)^'Financial Model &amp; DCF'!I$147-'Financial Model &amp; DCF'!I$158</f>
        <v>6501.99541466297</v>
      </c>
      <c r="D43" s="41" t="n">
        <f aca="false">C43*(1+$N43)^'Financial Model &amp; DCF'!J$147-'Financial Model &amp; DCF'!J$158</f>
        <v>6865.16997610515</v>
      </c>
      <c r="E43" s="41" t="n">
        <f aca="false">D43*(1+$N43)^'Financial Model &amp; DCF'!K$147-'Financial Model &amp; DCF'!K$158</f>
        <v>7232.09279685203</v>
      </c>
      <c r="F43" s="41" t="n">
        <f aca="false">E43*(1+$N43)^'Financial Model &amp; DCF'!L$147-'Financial Model &amp; DCF'!L$158</f>
        <v>7598.20341260297</v>
      </c>
      <c r="G43" s="41" t="n">
        <f aca="false">F43*(1+$N43)^'Financial Model &amp; DCF'!M$147-'Financial Model &amp; DCF'!M$158</f>
        <v>7963.52537285093</v>
      </c>
      <c r="H43" s="41" t="n">
        <f aca="false">G43*(1+$N43)^'Financial Model &amp; DCF'!N$147-'Financial Model &amp; DCF'!N$158</f>
        <v>8328.62556247425</v>
      </c>
      <c r="I43" s="41" t="n">
        <f aca="false">H43*(1+$N43)^'Financial Model &amp; DCF'!O$147-'Financial Model &amp; DCF'!O$158</f>
        <v>8694.40435715135</v>
      </c>
      <c r="J43" s="41" t="n">
        <f aca="false">I43*(1+$N43)^'Financial Model &amp; DCF'!P$147-'Financial Model &amp; DCF'!P$158</f>
        <v>9066.01519662987</v>
      </c>
      <c r="K43" s="41" t="n">
        <f aca="false">J43*(1+$N43)^'Financial Model &amp; DCF'!Q$147-'Financial Model &amp; DCF'!Q$158</f>
        <v>9445.72460375274</v>
      </c>
      <c r="L43" s="41" t="n">
        <f aca="false">K43*(1+$N43)^'Financial Model &amp; DCF'!R$147-'Financial Model &amp; DCF'!R$158</f>
        <v>9836.97717708041</v>
      </c>
      <c r="N43" s="31" t="n">
        <f aca="false">'Financial Model &amp; DCF'!$R$149+-0.02</f>
        <v>0.0671</v>
      </c>
      <c r="O43" s="31" t="n">
        <f aca="false">'Financial Model &amp; DCF'!$D$138+0.005</f>
        <v>0.0482</v>
      </c>
      <c r="P43" s="21" t="n">
        <v>0.25</v>
      </c>
    </row>
    <row r="44" customFormat="false" ht="13.8" hidden="false" customHeight="false" outlineLevel="0" collapsed="false">
      <c r="A44" s="2" t="s">
        <v>222</v>
      </c>
      <c r="B44" s="25" t="n">
        <f aca="false">(B43-('Financial Model &amp; DCF'!$H$52-'Financial Model &amp; DCF'!$H$44))/'Financial Model &amp; DCF'!$D$136</f>
        <v>535.012184763725</v>
      </c>
      <c r="C44" s="25" t="n">
        <f aca="false">(C43-('Financial Model &amp; DCF'!$H$52-'Financial Model &amp; DCF'!$H$44))/'Financial Model &amp; DCF'!$D$136</f>
        <v>548.841208322693</v>
      </c>
      <c r="D44" s="25" t="n">
        <f aca="false">(D43-('Financial Model &amp; DCF'!$H$52-'Financial Model &amp; DCF'!$H$44))/'Financial Model &amp; DCF'!$D$136</f>
        <v>578.868042670951</v>
      </c>
      <c r="E44" s="25" t="n">
        <f aca="false">(E43-('Financial Model &amp; DCF'!$H$52-'Financial Model &amp; DCF'!$H$44))/'Financial Model &amp; DCF'!$D$136</f>
        <v>609.204778573958</v>
      </c>
      <c r="F44" s="25" t="n">
        <f aca="false">(F43-('Financial Model &amp; DCF'!$H$52-'Financial Model &amp; DCF'!$H$44))/'Financial Model &amp; DCF'!$D$136</f>
        <v>639.474362348323</v>
      </c>
      <c r="G44" s="25" t="n">
        <f aca="false">(G43-('Financial Model &amp; DCF'!$H$52-'Financial Model &amp; DCF'!$H$44))/'Financial Model &amp; DCF'!$D$136</f>
        <v>669.678741037696</v>
      </c>
      <c r="H44" s="25" t="n">
        <f aca="false">(H43-('Financial Model &amp; DCF'!$H$52-'Financial Model &amp; DCF'!$H$44))/'Financial Model &amp; DCF'!$D$136</f>
        <v>699.864783999524</v>
      </c>
      <c r="I44" s="25" t="n">
        <f aca="false">(I43-('Financial Model &amp; DCF'!$H$52-'Financial Model &amp; DCF'!$H$44))/'Financial Model &amp; DCF'!$D$136</f>
        <v>730.106933208049</v>
      </c>
      <c r="J44" s="25" t="n">
        <f aca="false">(J43-('Financial Model &amp; DCF'!$H$52-'Financial Model &amp; DCF'!$H$44))/'Financial Model &amp; DCF'!$D$136</f>
        <v>760.831268840833</v>
      </c>
      <c r="K44" s="25" t="n">
        <f aca="false">(K43-('Financial Model &amp; DCF'!$H$52-'Financial Model &amp; DCF'!$H$44))/'Financial Model &amp; DCF'!$D$136</f>
        <v>792.225184270586</v>
      </c>
      <c r="L44" s="25" t="n">
        <f aca="false">(L43-('Financial Model &amp; DCF'!$H$52-'Financial Model &amp; DCF'!$H$44))/'Financial Model &amp; DCF'!$D$136</f>
        <v>824.573474748277</v>
      </c>
    </row>
    <row r="45" customFormat="false" ht="13.8" hidden="false" customHeight="false" outlineLevel="0" collapsed="false">
      <c r="A45" s="11" t="s">
        <v>297</v>
      </c>
      <c r="B45" s="55" t="n">
        <f aca="false">'Financial Model &amp; DCF'!$D$135</f>
        <v>346.77</v>
      </c>
      <c r="C45" s="55" t="n">
        <f aca="false">'Financial Model &amp; DCF'!$D$135</f>
        <v>346.77</v>
      </c>
      <c r="D45" s="55" t="n">
        <f aca="false">'Financial Model &amp; DCF'!$D$135</f>
        <v>346.77</v>
      </c>
      <c r="E45" s="55" t="n">
        <f aca="false">'Financial Model &amp; DCF'!$D$135</f>
        <v>346.77</v>
      </c>
      <c r="F45" s="55" t="n">
        <f aca="false">'Financial Model &amp; DCF'!$D$135</f>
        <v>346.77</v>
      </c>
      <c r="G45" s="55" t="n">
        <f aca="false">'Financial Model &amp; DCF'!$D$135</f>
        <v>346.77</v>
      </c>
      <c r="H45" s="55" t="n">
        <f aca="false">'Financial Model &amp; DCF'!$D$135</f>
        <v>346.77</v>
      </c>
      <c r="I45" s="55" t="n">
        <f aca="false">'Financial Model &amp; DCF'!$D$135</f>
        <v>346.77</v>
      </c>
      <c r="J45" s="55" t="n">
        <f aca="false">'Financial Model &amp; DCF'!$D$135</f>
        <v>346.77</v>
      </c>
      <c r="K45" s="55" t="n">
        <f aca="false">'Financial Model &amp; DCF'!$D$135</f>
        <v>346.77</v>
      </c>
      <c r="L45" s="55" t="n">
        <f aca="false">'Financial Model &amp; DCF'!$D$135</f>
        <v>346.77</v>
      </c>
    </row>
    <row r="46" customFormat="false" ht="13.8" hidden="false" customHeight="false" outlineLevel="0" collapsed="false">
      <c r="A46" s="2" t="s">
        <v>298</v>
      </c>
      <c r="B46" s="25" t="n">
        <f aca="false">B40*$P$39+B42*$P$41+B44*$P$43</f>
        <v>348.209960651522</v>
      </c>
      <c r="P46" s="43" t="n">
        <f aca="false">P39+P41+P43</f>
        <v>1</v>
      </c>
    </row>
    <row r="47" customFormat="false" ht="13.8" hidden="false" customHeight="false" outlineLevel="0" collapsed="false">
      <c r="A47" s="1" t="s">
        <v>299</v>
      </c>
    </row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6.15" hidden="false" customHeight="false" outlineLevel="0" collapsed="false">
      <c r="A70" s="15" t="s">
        <v>300</v>
      </c>
      <c r="B70" s="16"/>
      <c r="C70" s="16"/>
      <c r="D70" s="16"/>
      <c r="E70" s="16"/>
      <c r="F70" s="16"/>
      <c r="G70" s="16"/>
      <c r="H70" s="16"/>
      <c r="I70" s="16"/>
      <c r="J70" s="16"/>
    </row>
    <row r="71" customFormat="false" ht="13.8" hidden="false" customHeight="false" outlineLevel="0" collapsed="false">
      <c r="A71" s="1" t="s">
        <v>301</v>
      </c>
    </row>
    <row r="72" customFormat="false" ht="13.8" hidden="false" customHeight="false" outlineLevel="0" collapsed="false">
      <c r="A72" s="3" t="s">
        <v>302</v>
      </c>
      <c r="B72" s="4" t="n">
        <v>0</v>
      </c>
    </row>
    <row r="73" customFormat="false" ht="13.8" hidden="false" customHeight="false" outlineLevel="0" collapsed="false">
      <c r="A73" s="3" t="s">
        <v>303</v>
      </c>
      <c r="B73" s="4" t="n">
        <v>0</v>
      </c>
    </row>
    <row r="74" customFormat="false" ht="13.8" hidden="false" customHeight="false" outlineLevel="0" collapsed="false">
      <c r="A74" s="3" t="s">
        <v>304</v>
      </c>
      <c r="B74" s="22" t="n">
        <f aca="false">'Financial Model &amp; DCF'!$D$136+B72</f>
        <v>12.095</v>
      </c>
    </row>
    <row r="75" customFormat="false" ht="13.8" hidden="false" customHeight="false" outlineLevel="0" collapsed="false">
      <c r="A75" s="3" t="s">
        <v>305</v>
      </c>
      <c r="B75" s="22" t="n">
        <f aca="false">'Financial Model &amp; DCF'!$D$170+B73</f>
        <v>3666.00823188988</v>
      </c>
    </row>
    <row r="76" customFormat="false" ht="13.8" hidden="false" customHeight="false" outlineLevel="0" collapsed="false">
      <c r="A76" s="2" t="s">
        <v>306</v>
      </c>
      <c r="B76" s="25" t="n">
        <f aca="false">B75/B74</f>
        <v>303.101135336079</v>
      </c>
    </row>
    <row r="77" customFormat="false" ht="13.8" hidden="false" customHeight="false" outlineLevel="0" collapsed="false">
      <c r="A77" s="3" t="s">
        <v>307</v>
      </c>
      <c r="B77" s="39" t="n">
        <f aca="false">B76/'Financial Model &amp; DCF'!$D$135-1</f>
        <v>-0.125930341909394</v>
      </c>
    </row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6.15" hidden="false" customHeight="false" outlineLevel="0" collapsed="false">
      <c r="A80" s="15" t="s">
        <v>308</v>
      </c>
      <c r="B80" s="16"/>
      <c r="C80" s="16"/>
      <c r="D80" s="16"/>
      <c r="E80" s="16"/>
      <c r="F80" s="16"/>
      <c r="G80" s="16"/>
      <c r="H80" s="16"/>
      <c r="I80" s="16"/>
      <c r="J80" s="16"/>
    </row>
    <row r="81" customFormat="false" ht="13.8" hidden="false" customHeight="false" outlineLevel="0" collapsed="false"/>
    <row r="82" customFormat="false" ht="13.8" hidden="false" customHeight="false" outlineLevel="0" collapsed="false">
      <c r="A82" s="1" t="s">
        <v>309</v>
      </c>
    </row>
    <row r="83" customFormat="false" ht="13.8" hidden="false" customHeight="false" outlineLevel="0" collapsed="false">
      <c r="A83" s="1" t="s">
        <v>310</v>
      </c>
    </row>
    <row r="84" customFormat="false" ht="13.8" hidden="false" customHeight="false" outlineLevel="0" collapsed="false">
      <c r="A84" s="1" t="s">
        <v>311</v>
      </c>
    </row>
    <row r="85" customFormat="false" ht="13.8" hidden="false" customHeight="false" outlineLevel="0" collapsed="false">
      <c r="A85" s="1" t="s">
        <v>312</v>
      </c>
    </row>
    <row r="86" customFormat="false" ht="13.8" hidden="false" customHeight="false" outlineLevel="0" collapsed="false">
      <c r="A86" s="1" t="s">
        <v>313</v>
      </c>
    </row>
    <row r="87" customFormat="false" ht="13.8" hidden="false" customHeight="false" outlineLevel="0" collapsed="false">
      <c r="A87" s="1" t="s">
        <v>314</v>
      </c>
    </row>
    <row r="88" customFormat="false" ht="13.8" hidden="false" customHeight="false" outlineLevel="0" collapsed="false">
      <c r="A88" s="1" t="s">
        <v>315</v>
      </c>
    </row>
    <row r="89" customFormat="false" ht="13.8" hidden="false" customHeight="false" outlineLevel="0" collapsed="false">
      <c r="A89" s="1" t="s">
        <v>316</v>
      </c>
    </row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6.15" hidden="false" customHeight="false" outlineLevel="0" collapsed="false">
      <c r="A93" s="15" t="s">
        <v>317</v>
      </c>
      <c r="B93" s="16"/>
      <c r="C93" s="16"/>
      <c r="D93" s="16"/>
      <c r="E93" s="16"/>
      <c r="F93" s="16"/>
      <c r="G93" s="16"/>
      <c r="H93" s="16"/>
      <c r="I93" s="16"/>
      <c r="J93" s="16"/>
    </row>
    <row r="94" customFormat="false" ht="13.8" hidden="false" customHeight="false" outlineLevel="0" collapsed="false">
      <c r="A94" s="1" t="s">
        <v>318</v>
      </c>
    </row>
    <row r="95" customFormat="false" ht="13.8" hidden="false" customHeight="false" outlineLevel="0" collapsed="false"/>
    <row r="96" customFormat="false" ht="13.8" hidden="false" customHeight="false" outlineLevel="0" collapsed="false">
      <c r="A96" s="1" t="s">
        <v>319</v>
      </c>
    </row>
    <row r="97" customFormat="false" ht="13.8" hidden="false" customHeight="false" outlineLevel="0" collapsed="false"/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6.15" hidden="false" customHeight="false" outlineLevel="0" collapsed="false">
      <c r="A112" s="15" t="s">
        <v>320</v>
      </c>
      <c r="B112" s="16"/>
      <c r="C112" s="16"/>
      <c r="D112" s="16"/>
      <c r="E112" s="16"/>
      <c r="F112" s="16"/>
      <c r="G112" s="16"/>
      <c r="H112" s="16"/>
      <c r="I112" s="16"/>
      <c r="J112" s="16"/>
    </row>
    <row r="113" customFormat="false" ht="13.8" hidden="false" customHeight="false" outlineLevel="0" collapsed="false">
      <c r="A113" s="1" t="s">
        <v>321</v>
      </c>
    </row>
    <row r="114" customFormat="false" ht="13.8" hidden="false" customHeight="false" outlineLevel="0" collapsed="false">
      <c r="A114" s="3" t="s">
        <v>322</v>
      </c>
      <c r="B114" s="21" t="n">
        <v>0</v>
      </c>
    </row>
    <row r="115" customFormat="false" ht="13.8" hidden="false" customHeight="false" outlineLevel="0" collapsed="false">
      <c r="A115" s="3" t="s">
        <v>323</v>
      </c>
      <c r="B115" s="22" t="n">
        <f aca="false">-'Financial Model &amp; DCF'!$D$135*(1+B114)*'Financial Model &amp; DCF'!$D$136</f>
        <v>-4194.18315</v>
      </c>
    </row>
    <row r="116" customFormat="false" ht="13.8" hidden="false" customHeight="false" outlineLevel="0" collapsed="false">
      <c r="A116" s="3" t="s">
        <v>324</v>
      </c>
      <c r="B116" s="32" t="n">
        <f aca="false">'Financial Model &amp; DCF'!$D$139</f>
        <v>17</v>
      </c>
    </row>
    <row r="117" customFormat="false" ht="13.8" hidden="false" customHeight="false" outlineLevel="0" collapsed="false">
      <c r="A117" s="2" t="s">
        <v>325</v>
      </c>
      <c r="B117" s="22" t="n">
        <f aca="false">B115</f>
        <v>-4194.18315</v>
      </c>
      <c r="C117" s="22" t="n">
        <f aca="false">-'Financial Model &amp; DCF'!I$77</f>
        <v>70</v>
      </c>
      <c r="D117" s="22" t="n">
        <f aca="false">-'Financial Model &amp; DCF'!J$77</f>
        <v>70</v>
      </c>
      <c r="E117" s="22" t="n">
        <f aca="false">-'Financial Model &amp; DCF'!K$77</f>
        <v>70</v>
      </c>
      <c r="F117" s="22" t="n">
        <f aca="false">-'Financial Model &amp; DCF'!L$77</f>
        <v>70</v>
      </c>
      <c r="G117" s="22" t="n">
        <f aca="false">-'Financial Model &amp; DCF'!M$77</f>
        <v>70</v>
      </c>
      <c r="H117" s="22" t="n">
        <f aca="false">-'Financial Model &amp; DCF'!N$77</f>
        <v>70</v>
      </c>
      <c r="I117" s="22" t="n">
        <f aca="false">-'Financial Model &amp; DCF'!O$77</f>
        <v>70</v>
      </c>
      <c r="J117" s="22" t="n">
        <f aca="false">-'Financial Model &amp; DCF'!P$77</f>
        <v>70</v>
      </c>
      <c r="K117" s="22" t="n">
        <f aca="false">-'Financial Model &amp; DCF'!Q$77</f>
        <v>70</v>
      </c>
      <c r="L117" s="22" t="n">
        <f aca="false">-'Financial Model &amp; DCF'!R$77+$B$116*('Financial Model &amp; DCF'!$R$151+'Financial Model &amp; DCF'!$R$153)-('Financial Model &amp; DCF'!$R$52-'Financial Model &amp; DCF'!$R$44)</f>
        <v>7243.24702367899</v>
      </c>
    </row>
    <row r="118" customFormat="false" ht="13.8" hidden="false" customHeight="false" outlineLevel="0" collapsed="false">
      <c r="A118" s="2" t="s">
        <v>326</v>
      </c>
      <c r="B118" s="40" t="n">
        <f aca="false">IFERROR(IRR(B117:L117),"n/m - owner cash flows never turn positive")</f>
        <v>0.0684708902504412</v>
      </c>
    </row>
    <row r="119" customFormat="false" ht="13.8" hidden="false" customHeight="false" outlineLevel="0" collapsed="false">
      <c r="A119" s="2" t="s">
        <v>327</v>
      </c>
      <c r="B119" s="56" t="n">
        <f aca="false">SUM(C117:L117)/-B115</f>
        <v>1.8771824553439</v>
      </c>
    </row>
    <row r="120" customFormat="false" ht="13.8" hidden="false" customHeight="false" outlineLevel="0" collapsed="false">
      <c r="A120" s="1" t="s">
        <v>328</v>
      </c>
    </row>
    <row r="121" customFormat="false" ht="13.8" hidden="false" customHeight="false" outlineLevel="0" collapsed="false"/>
    <row r="122" customFormat="false" ht="13.8" hidden="false" customHeight="false" outlineLevel="0" collapsed="false">
      <c r="A122" s="1" t="s">
        <v>329</v>
      </c>
    </row>
    <row r="123" customFormat="false" ht="13.8" hidden="false" customHeight="false" outlineLevel="0" collapsed="false">
      <c r="B123" s="51" t="n">
        <f aca="false">$B$116+-2</f>
        <v>15</v>
      </c>
      <c r="C123" s="51" t="n">
        <f aca="false">$B$116+-1</f>
        <v>16</v>
      </c>
      <c r="D123" s="51" t="n">
        <f aca="false">$B$116+0</f>
        <v>17</v>
      </c>
      <c r="E123" s="51" t="n">
        <f aca="false">$B$116+1</f>
        <v>18</v>
      </c>
      <c r="F123" s="51" t="n">
        <f aca="false">$B$116+2</f>
        <v>19</v>
      </c>
    </row>
    <row r="124" customFormat="false" ht="13.8" hidden="false" customHeight="false" outlineLevel="0" collapsed="false">
      <c r="A124" s="40" t="n">
        <v>-0.2</v>
      </c>
      <c r="B124" s="57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0.0784595213407155</v>
      </c>
      <c r="C124" s="57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0.0838630700500636</v>
      </c>
      <c r="D124" s="57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0.0890345295266795</v>
      </c>
      <c r="E124" s="57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0.0939939896733537</v>
      </c>
      <c r="F124" s="57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0.0987590013370352</v>
      </c>
    </row>
    <row r="125" customFormat="false" ht="13.8" hidden="false" customHeight="false" outlineLevel="0" collapsed="false">
      <c r="A125" s="40" t="n">
        <v>-0.1</v>
      </c>
      <c r="B125" s="57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0.0658316113807433</v>
      </c>
      <c r="C125" s="57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0.0711718887987582</v>
      </c>
      <c r="D125" s="57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0.0762827945658096</v>
      </c>
      <c r="E125" s="57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0.0811841833477798</v>
      </c>
      <c r="F125" s="57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0.0858934004850498</v>
      </c>
    </row>
    <row r="126" customFormat="false" ht="13.8" hidden="false" customHeight="false" outlineLevel="0" collapsed="false">
      <c r="A126" s="40" t="n">
        <v>0</v>
      </c>
      <c r="B126" s="57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0.0546609054662075</v>
      </c>
      <c r="C126" s="57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0.0599452128154969</v>
      </c>
      <c r="D126" s="57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0.0650025524988713</v>
      </c>
      <c r="E126" s="57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0.0698525710905866</v>
      </c>
      <c r="F126" s="57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0.0745124321389901</v>
      </c>
    </row>
    <row r="127" customFormat="false" ht="13.8" hidden="false" customHeight="false" outlineLevel="0" collapsed="false">
      <c r="A127" s="40" t="n">
        <v>0.1</v>
      </c>
      <c r="B127" s="57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0.0446566644457163</v>
      </c>
      <c r="C127" s="57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0.0498908462199752</v>
      </c>
      <c r="D127" s="57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0.0549002132849918</v>
      </c>
      <c r="E127" s="57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0.0597042258526914</v>
      </c>
      <c r="F127" s="57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0.0643198846624336</v>
      </c>
    </row>
    <row r="128" customFormat="false" ht="13.8" hidden="false" customHeight="false" outlineLevel="0" collapsed="false">
      <c r="A128" s="40" t="n">
        <v>0.2</v>
      </c>
      <c r="B128" s="57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0.0356063938848565</v>
      </c>
      <c r="C128" s="57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0.0407952298887453</v>
      </c>
      <c r="D128" s="57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0.045761198841425</v>
      </c>
      <c r="E128" s="57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0.0505235923633698</v>
      </c>
      <c r="F128" s="57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0.0550992639098642</v>
      </c>
    </row>
    <row r="129" customFormat="false" ht="13.8" hidden="false" customHeight="false" outlineLevel="0" collapsed="false"/>
    <row r="130" customFormat="false" ht="13.8" hidden="false" customHeight="false" outlineLevel="0" collapsed="false">
      <c r="A130" s="1" t="s">
        <v>330</v>
      </c>
    </row>
  </sheetData>
  <mergeCells count="1">
    <mergeCell ref="A1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2026-07-21T03:24:31Z</dcterms:created>
  <dc:creator>openpyxl</dc:creator>
  <dc:description/>
  <dc:language>en-US</dc:language>
  <cp:lastModifiedBy/>
  <dcterms:modified xsi:type="dcterms:W3CDTF">2026-07-21T03:24:31Z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