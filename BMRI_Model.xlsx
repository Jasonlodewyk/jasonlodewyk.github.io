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i val="1"/>
      <color rgb="00595959"/>
      <sz val="10"/>
    </font>
    <font>
      <name val="Arial"/>
      <b val="1"/>
      <i val="1"/>
      <color rgb="00C00000"/>
      <sz val="10"/>
    </font>
    <font>
      <name val="Arial"/>
      <b val="1"/>
      <color rgb="001F3864"/>
      <sz val="11"/>
    </font>
    <font>
      <name val="Arial"/>
      <sz val="11"/>
    </font>
    <font>
      <name val="Arial"/>
      <color rgb="000000CC"/>
      <sz val="11"/>
    </font>
    <font>
      <name val="Arial"/>
      <b val="1"/>
      <sz val="11"/>
    </font>
    <font>
      <name val="Arial"/>
      <i val="1"/>
      <color rgb="00595959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4" fontId="6" fillId="0" borderId="0" pivotButton="0" quotePrefix="0" xfId="0"/>
    <xf numFmtId="10" fontId="7" fillId="0" borderId="0" pivotButton="0" quotePrefix="0" xfId="0"/>
    <xf numFmtId="10" fontId="6" fillId="0" borderId="0" pivotButton="0" quotePrefix="0" xfId="0"/>
    <xf numFmtId="0" fontId="8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1" fontId="7" fillId="0" borderId="0" pivotButton="0" quotePrefix="0" xfId="0"/>
    <xf numFmtId="164" fontId="6" fillId="0" borderId="0" pivotButton="0" quotePrefix="0" xfId="0"/>
    <xf numFmtId="10" fontId="8" fillId="0" borderId="0" pivotButton="0" quotePrefix="0" xfId="0"/>
    <xf numFmtId="4" fontId="5" fillId="0" borderId="0" pivotButton="0" quotePrefix="0" xfId="0"/>
    <xf numFmtId="4" fontId="8" fillId="0" borderId="0" pivotButton="0" quotePrefix="0" xfId="0"/>
    <xf numFmtId="3" fontId="7" fillId="0" borderId="0" pivotButton="0" quotePrefix="0" xfId="0"/>
    <xf numFmtId="164" fontId="7" fillId="0" borderId="0" pivotButton="0" quotePrefix="0" xfId="0"/>
    <xf numFmtId="3" fontId="5" fillId="0" borderId="0" pivotButton="0" quotePrefix="0" xfId="0"/>
    <xf numFmtId="164" fontId="8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0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 xml:space="preserve"> PT Bank Mandiri (Persero) Tbk (IDX: BMRI) - Excess Return &amp; DDM (bank engine)</t>
        </is>
      </c>
    </row>
    <row r="2"/>
    <row r="3">
      <c r="A3" s="2" t="inlineStr">
        <is>
          <t>Per-share values in IDR | FCFF DCF is invalid for banks - this engine values equity DIRECTLY (book value + excess returns; dividends as the cross-check)</t>
        </is>
      </c>
    </row>
    <row r="4">
      <c r="A4" s="3" t="inlineStr">
        <is>
          <t>Scenario: FORECAST PROVISIONALLY FLAGGED - true-up 06-Aug-2026: H1-26 ROE ~21.2% vs deck 19.2% (+2.04pt, just over the 2pt threshold). Source is a PRESS figure, NOT the IDX filing - and this deck has already been restated once for a parent-vs-consolidated basis error, so the basis MUST be confirmed against the H1-2026 filing before rebuilding. On seasonal rather than H1x2 annualisation implied ROE is 24.4%; the spread between those two methods is itself the reason to get the filing. Indonesia 10Y has also moved to 7.348% (04-Aug) from 7.26%, taking rf to 5.73% and CoE to ~14.50%. Price Rp4,480 17-Jul-2026 (live); rf 5.64% = Indonesia 10Y 7.26% (8-Jul-26) LESS the Baa2 sovereign default spread 1.62% (Damodaran Jan-2026); ERP 6.69% is Indonesia's TOTAL ERP, so country risk is counted once, not twice; IDX down &gt;30% on capital outflows/fiscal concerns - BMRI's fall from ~6,500 (Apr) is a SOVEREIGN repricing, not bank-specific. FY2025 filed: NI Rp56.3T, equity Rp327.4T, ROE 17.19%, payout 79% (DPS Rp476.96). BVPS Rp3,508 = filed equity / 93.33bn shares. CoE 14.4% carries the elevated rf - the verdict is rate-regime-conditional by construction.BOOK VALUE RESTATED 2026-07-20: BVPS now Rp3,148 = equity ATTRIBUTABLE TO PARENT (Rp293.75tn) / 93.32bn shares. Previously Rp3,508, which used TOTAL equity and so included Rp33.65tn of non-controlling interests that do not belong to BMRI shareholders. ROE restated to the same parent-only basis (17.2% -&gt; 19.2%) so numerator and denominator match. FY2024-25 ROE read from the audited statements; FY2021-23 scaled by the FY2025 parent/total factor and NOT independently verified - treat those three as indicative.</t>
        </is>
      </c>
    </row>
    <row r="5">
      <c r="A5" s="3" t="inlineStr">
        <is>
          <t>Corporate actions: FY2025 dividend Rp476.96/sh (79% payout, Rp44.47T) approved Apr-2026, cum 8-May-2026 - already EX; trailing yield ~10.6% at today's price. BMRI transferred under Danantara SOE holding early 2026 - dividend-sweep/governance debate is the live narrative overlay on all SOE banks. No rights issue or buyback found. Searched 2026-07-17.</t>
        </is>
      </c>
    </row>
    <row r="7">
      <c r="A7" s="4" t="inlineStr">
        <is>
          <t>Inputs (blue) - Cost of Equity via CAPM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inlineStr">
        <is>
          <t>BVPS today</t>
        </is>
      </c>
      <c r="C8" s="7" t="n">
        <v>3147.75</v>
      </c>
      <c r="D8" s="6" t="inlineStr">
        <is>
          <t>Beta</t>
        </is>
      </c>
      <c r="F8" s="7" t="n">
        <v>1.1</v>
      </c>
      <c r="G8" s="6" t="inlineStr">
        <is>
          <t>Cost of Equity</t>
        </is>
      </c>
      <c r="I8" s="8">
        <f>$C$11+$F$8*$F$9</f>
        <v/>
      </c>
    </row>
    <row r="9">
      <c r="A9" s="6" t="inlineStr">
        <is>
          <t>Shares outstanding bn</t>
        </is>
      </c>
      <c r="C9" s="7" t="n">
        <v>93.33</v>
      </c>
      <c r="D9" s="6" t="inlineStr">
        <is>
          <t>Equity risk premium</t>
        </is>
      </c>
      <c r="F9" s="9" t="n">
        <v>0.0669</v>
      </c>
      <c r="G9" s="6" t="inlineStr">
        <is>
          <t>ROE history (context)</t>
        </is>
      </c>
      <c r="I9" s="10" t="inlineStr">
        <is>
          <t>18.3% / 25.2% / 24.6% / 19.7% / 19.2%</t>
        </is>
      </c>
    </row>
    <row r="10">
      <c r="A10" s="6" t="inlineStr">
        <is>
          <t>Current price</t>
        </is>
      </c>
      <c r="C10" s="11" t="n">
        <v>4480</v>
      </c>
      <c r="D10" s="6" t="inlineStr">
        <is>
          <t>Terminal growth g</t>
        </is>
      </c>
      <c r="F10" s="9" t="n">
        <v>0.04</v>
      </c>
      <c r="G10" s="6" t="inlineStr">
        <is>
          <t>Peer P/BV context</t>
        </is>
      </c>
      <c r="I10" s="10" t="inlineStr">
        <is>
          <t>BBCA ~3x book (premium deposit franchise) at 6,475; BBRI ~1.3-1.4x at 2,970 - BMRI mid-pack SOE; whole sector derated with 2026 sovereign outflows (peer marks approximate).</t>
        </is>
      </c>
    </row>
    <row r="11">
      <c r="A11" s="6" t="inlineStr">
        <is>
          <t>Risk-free (10Y, as-of below)</t>
        </is>
      </c>
      <c r="C11" s="9" t="n">
        <v>0.0564</v>
      </c>
    </row>
    <row r="13">
      <c r="A13" s="4" t="inlineStr">
        <is>
          <t>10-Year Schedule - book value compounds at ROE x retention; excess return = (ROE - CoE) x opening book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12" t="inlineStr">
        <is>
          <t>Year</t>
        </is>
      </c>
      <c r="D14" s="13" t="n">
        <v>2026</v>
      </c>
      <c r="E14" s="13" t="n">
        <v>2027</v>
      </c>
      <c r="F14" s="13" t="n">
        <v>2028</v>
      </c>
      <c r="G14" s="13" t="n">
        <v>2029</v>
      </c>
      <c r="H14" s="13" t="n">
        <v>2030</v>
      </c>
      <c r="I14" s="13" t="n">
        <v>2031</v>
      </c>
      <c r="J14" s="13" t="n">
        <v>2032</v>
      </c>
      <c r="K14" s="13" t="n">
        <v>2033</v>
      </c>
      <c r="L14" s="13" t="n">
        <v>2034</v>
      </c>
      <c r="M14" s="13" t="n">
        <v>2035</v>
      </c>
    </row>
    <row r="15">
      <c r="A15" s="6" t="inlineStr">
        <is>
          <t>ROE (blue)</t>
        </is>
      </c>
      <c r="D15" s="9" t="n">
        <v>0.1917</v>
      </c>
      <c r="E15" s="9" t="n">
        <v>0.1903</v>
      </c>
      <c r="F15" s="9" t="n">
        <v>0.1887</v>
      </c>
      <c r="G15" s="9" t="n">
        <v>0.1872</v>
      </c>
      <c r="H15" s="9" t="n">
        <v>0.1858</v>
      </c>
      <c r="I15" s="9" t="n">
        <v>0.1842</v>
      </c>
      <c r="J15" s="9" t="n">
        <v>0.1828</v>
      </c>
      <c r="K15" s="9" t="n">
        <v>0.1813</v>
      </c>
      <c r="L15" s="9" t="n">
        <v>0.1798</v>
      </c>
      <c r="M15" s="9" t="n">
        <v>0.1783</v>
      </c>
    </row>
    <row r="16">
      <c r="A16" s="6" t="inlineStr">
        <is>
          <t>Payout (blue)</t>
        </is>
      </c>
      <c r="D16" s="14" t="n">
        <v>0.79</v>
      </c>
      <c r="E16" s="14" t="n">
        <v>0.79</v>
      </c>
      <c r="F16" s="14" t="n">
        <v>0.79</v>
      </c>
      <c r="G16" s="14" t="n">
        <v>0.79</v>
      </c>
      <c r="H16" s="14" t="n">
        <v>0.79</v>
      </c>
      <c r="I16" s="14" t="n">
        <v>0.79</v>
      </c>
      <c r="J16" s="14" t="n">
        <v>0.79</v>
      </c>
      <c r="K16" s="14" t="n">
        <v>0.79</v>
      </c>
      <c r="L16" s="14" t="n">
        <v>0.77</v>
      </c>
      <c r="M16" s="14" t="n">
        <v>0.75</v>
      </c>
    </row>
    <row r="17">
      <c r="A17" s="6" t="inlineStr">
        <is>
          <t>Implied growth</t>
        </is>
      </c>
      <c r="D17" s="15">
        <f>D15*(1-D16)</f>
        <v/>
      </c>
      <c r="E17" s="15">
        <f>E15*(1-E16)</f>
        <v/>
      </c>
      <c r="F17" s="15">
        <f>F15*(1-F16)</f>
        <v/>
      </c>
      <c r="G17" s="15">
        <f>G15*(1-G16)</f>
        <v/>
      </c>
      <c r="H17" s="15">
        <f>H15*(1-H16)</f>
        <v/>
      </c>
      <c r="I17" s="15">
        <f>I15*(1-I16)</f>
        <v/>
      </c>
      <c r="J17" s="15">
        <f>J15*(1-J16)</f>
        <v/>
      </c>
      <c r="K17" s="15">
        <f>K15*(1-K16)</f>
        <v/>
      </c>
      <c r="L17" s="15">
        <f>L15*(1-L16)</f>
        <v/>
      </c>
      <c r="M17" s="15">
        <f>M15*(1-M16)</f>
        <v/>
      </c>
    </row>
    <row r="18">
      <c r="A18" s="6" t="inlineStr">
        <is>
          <t>Opening BVPS</t>
        </is>
      </c>
      <c r="D18" s="16">
        <f>$C$8</f>
        <v/>
      </c>
      <c r="E18" s="16">
        <f>D18+D19-D20</f>
        <v/>
      </c>
      <c r="F18" s="16">
        <f>E18+E19-E20</f>
        <v/>
      </c>
      <c r="G18" s="16">
        <f>F18+F19-F20</f>
        <v/>
      </c>
      <c r="H18" s="16">
        <f>G18+G19-G20</f>
        <v/>
      </c>
      <c r="I18" s="16">
        <f>H18+H19-H20</f>
        <v/>
      </c>
      <c r="J18" s="16">
        <f>I18+I19-I20</f>
        <v/>
      </c>
      <c r="K18" s="16">
        <f>J18+J19-J20</f>
        <v/>
      </c>
      <c r="L18" s="16">
        <f>K18+K19-K20</f>
        <v/>
      </c>
      <c r="M18" s="16">
        <f>L18+L19-L20</f>
        <v/>
      </c>
    </row>
    <row r="19">
      <c r="A19" s="6" t="inlineStr">
        <is>
          <t>EPS</t>
        </is>
      </c>
      <c r="D19" s="16">
        <f>D15*D18</f>
        <v/>
      </c>
      <c r="E19" s="16">
        <f>E15*E18</f>
        <v/>
      </c>
      <c r="F19" s="16">
        <f>F15*F18</f>
        <v/>
      </c>
      <c r="G19" s="16">
        <f>G15*G18</f>
        <v/>
      </c>
      <c r="H19" s="16">
        <f>H15*H18</f>
        <v/>
      </c>
      <c r="I19" s="16">
        <f>I15*I18</f>
        <v/>
      </c>
      <c r="J19" s="16">
        <f>J15*J18</f>
        <v/>
      </c>
      <c r="K19" s="16">
        <f>K15*K18</f>
        <v/>
      </c>
      <c r="L19" s="16">
        <f>L15*L18</f>
        <v/>
      </c>
      <c r="M19" s="16">
        <f>M15*M18</f>
        <v/>
      </c>
    </row>
    <row r="20">
      <c r="A20" s="6" t="inlineStr">
        <is>
          <t>DPS</t>
        </is>
      </c>
      <c r="D20" s="16">
        <f>D19*D16</f>
        <v/>
      </c>
      <c r="E20" s="16">
        <f>E19*E16</f>
        <v/>
      </c>
      <c r="F20" s="16">
        <f>F19*F16</f>
        <v/>
      </c>
      <c r="G20" s="16">
        <f>G19*G16</f>
        <v/>
      </c>
      <c r="H20" s="16">
        <f>H19*H16</f>
        <v/>
      </c>
      <c r="I20" s="16">
        <f>I19*I16</f>
        <v/>
      </c>
      <c r="J20" s="16">
        <f>J19*J16</f>
        <v/>
      </c>
      <c r="K20" s="16">
        <f>K19*K16</f>
        <v/>
      </c>
      <c r="L20" s="16">
        <f>L19*L16</f>
        <v/>
      </c>
      <c r="M20" s="16">
        <f>M19*M16</f>
        <v/>
      </c>
    </row>
    <row r="21">
      <c r="A21" s="6" t="inlineStr">
        <is>
          <t>Excess return /sh</t>
        </is>
      </c>
      <c r="D21" s="16">
        <f>(D15-$I$8)*D18</f>
        <v/>
      </c>
      <c r="E21" s="16">
        <f>(E15-$I$8)*E18</f>
        <v/>
      </c>
      <c r="F21" s="16">
        <f>(F15-$I$8)*F18</f>
        <v/>
      </c>
      <c r="G21" s="16">
        <f>(G15-$I$8)*G18</f>
        <v/>
      </c>
      <c r="H21" s="16">
        <f>(H15-$I$8)*H18</f>
        <v/>
      </c>
      <c r="I21" s="16">
        <f>(I15-$I$8)*I18</f>
        <v/>
      </c>
      <c r="J21" s="16">
        <f>(J15-$I$8)*J18</f>
        <v/>
      </c>
      <c r="K21" s="16">
        <f>(K15-$I$8)*K18</f>
        <v/>
      </c>
      <c r="L21" s="16">
        <f>(L15-$I$8)*L18</f>
        <v/>
      </c>
      <c r="M21" s="16">
        <f>(M15-$I$8)*M18</f>
        <v/>
      </c>
    </row>
    <row r="22">
      <c r="A22" s="6" t="inlineStr">
        <is>
          <t>Discount factor</t>
        </is>
      </c>
      <c r="D22" s="17">
        <f>(1+$I$8)^-1</f>
        <v/>
      </c>
      <c r="E22" s="17">
        <f>(1+$I$8)^-2</f>
        <v/>
      </c>
      <c r="F22" s="17">
        <f>(1+$I$8)^-3</f>
        <v/>
      </c>
      <c r="G22" s="17">
        <f>(1+$I$8)^-4</f>
        <v/>
      </c>
      <c r="H22" s="17">
        <f>(1+$I$8)^-5</f>
        <v/>
      </c>
      <c r="I22" s="17">
        <f>(1+$I$8)^-6</f>
        <v/>
      </c>
      <c r="J22" s="17">
        <f>(1+$I$8)^-7</f>
        <v/>
      </c>
      <c r="K22" s="17">
        <f>(1+$I$8)^-8</f>
        <v/>
      </c>
      <c r="L22" s="17">
        <f>(1+$I$8)^-9</f>
        <v/>
      </c>
      <c r="M22" s="17">
        <f>(1+$I$8)^-10</f>
        <v/>
      </c>
    </row>
    <row r="23">
      <c r="A23" s="6" t="inlineStr">
        <is>
          <t>PV excess return</t>
        </is>
      </c>
      <c r="D23" s="16">
        <f>D21*D22</f>
        <v/>
      </c>
      <c r="E23" s="16">
        <f>E21*E22</f>
        <v/>
      </c>
      <c r="F23" s="16">
        <f>F21*F22</f>
        <v/>
      </c>
      <c r="G23" s="16">
        <f>G21*G22</f>
        <v/>
      </c>
      <c r="H23" s="16">
        <f>H21*H22</f>
        <v/>
      </c>
      <c r="I23" s="16">
        <f>I21*I22</f>
        <v/>
      </c>
      <c r="J23" s="16">
        <f>J21*J22</f>
        <v/>
      </c>
      <c r="K23" s="16">
        <f>K21*K22</f>
        <v/>
      </c>
      <c r="L23" s="16">
        <f>L21*L22</f>
        <v/>
      </c>
      <c r="M23" s="16">
        <f>M21*M22</f>
        <v/>
      </c>
    </row>
    <row r="24">
      <c r="A24" s="6" t="inlineStr">
        <is>
          <t>PV dividend</t>
        </is>
      </c>
      <c r="D24" s="16">
        <f>D20*D22</f>
        <v/>
      </c>
      <c r="E24" s="16">
        <f>E20*E22</f>
        <v/>
      </c>
      <c r="F24" s="16">
        <f>F20*F22</f>
        <v/>
      </c>
      <c r="G24" s="16">
        <f>G20*G22</f>
        <v/>
      </c>
      <c r="H24" s="16">
        <f>H20*H22</f>
        <v/>
      </c>
      <c r="I24" s="16">
        <f>I20*I22</f>
        <v/>
      </c>
      <c r="J24" s="16">
        <f>J20*J22</f>
        <v/>
      </c>
      <c r="K24" s="16">
        <f>K20*K22</f>
        <v/>
      </c>
      <c r="L24" s="16">
        <f>L20*L22</f>
        <v/>
      </c>
      <c r="M24" s="16">
        <f>M20*M22</f>
        <v/>
      </c>
    </row>
    <row r="26">
      <c r="A26" s="4" t="inlineStr">
        <is>
          <t>Valuation - Excess Return (primary) and DDM (cross-check)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inlineStr">
        <is>
          <t>Book value today</t>
        </is>
      </c>
      <c r="C27" s="16">
        <f>$C$8</f>
        <v/>
      </c>
    </row>
    <row r="28">
      <c r="A28" s="6" t="inlineStr">
        <is>
          <t>PV of 10y excess returns</t>
        </is>
      </c>
      <c r="C28" s="16">
        <f>SUM(D23:M23)</f>
        <v/>
      </c>
    </row>
    <row r="29">
      <c r="A29" s="6" t="inlineStr">
        <is>
          <t>PV of terminal excess return</t>
        </is>
      </c>
      <c r="C29" s="16">
        <f>((M15-$I$8)*(M18+M19-M20)*(1+$F$10)/($I$8-$F$10))*M22</f>
        <v/>
      </c>
    </row>
    <row r="30">
      <c r="A30" s="12" t="inlineStr">
        <is>
          <t>VALUE PER SHARE - EXCESS RETURN</t>
        </is>
      </c>
      <c r="C30" s="18">
        <f>C27+C28+C29</f>
        <v/>
      </c>
    </row>
    <row r="31">
      <c r="A31" s="6" t="inlineStr">
        <is>
          <t>vs current price</t>
        </is>
      </c>
      <c r="C31" s="19">
        <f>C30/$C$10-1</f>
        <v/>
      </c>
    </row>
    <row r="32">
      <c r="A32" s="6" t="inlineStr">
        <is>
          <t>DDM: PV dividends + Gordon TV</t>
        </is>
      </c>
      <c r="C32" s="20">
        <f>SUM(D24:M24)+(M20*(1+$F$10)/($I$8-$F$10))*M22</f>
        <v/>
      </c>
    </row>
    <row r="33">
      <c r="A33" s="6" t="inlineStr">
        <is>
          <t>Convergence (ER vs DDM)</t>
        </is>
      </c>
      <c r="C33" s="21">
        <f>C30/C32-1</f>
        <v/>
      </c>
    </row>
    <row r="34">
      <c r="A34" s="6" t="inlineStr">
        <is>
          <t>Justified terminal P/BV = (ROE_T - g)/(CoE - g)</t>
        </is>
      </c>
      <c r="C34" s="22">
        <f>(M15-$F$10)/($I$8-$F$10)</f>
        <v/>
      </c>
    </row>
    <row r="35">
      <c r="A35" s="6" t="inlineStr">
        <is>
          <t>Current P/BV</t>
        </is>
      </c>
      <c r="C35" s="22">
        <f>$C$10/$C$8</f>
        <v/>
      </c>
    </row>
    <row r="37">
      <c r="A37" s="4" t="inlineStr">
        <is>
          <t>Expected Annual Return - the bank version of the TSR row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inlineStr">
        <is>
          <t>Forward dividend yield (yr-1 DPS / price)</t>
        </is>
      </c>
      <c r="C38" s="23">
        <f>D20/$C$10</f>
        <v/>
      </c>
    </row>
    <row r="39">
      <c r="A39" s="6" t="inlineStr">
        <is>
          <t>Sustainable growth (terminal)</t>
        </is>
      </c>
      <c r="C39" s="23">
        <f>$F$10</f>
        <v/>
      </c>
    </row>
    <row r="40">
      <c r="A40" s="12" t="inlineStr">
        <is>
          <t>EXPECTED RETURN AT TODAY'S PRICE (yield + growth)</t>
        </is>
      </c>
      <c r="C40" s="8">
        <f>C38+C39</f>
        <v/>
      </c>
    </row>
    <row r="41">
      <c r="A41" s="6" t="inlineStr">
        <is>
          <t>Cost of equity (the hurdle)</t>
        </is>
      </c>
      <c r="C41" s="23">
        <f>$I$8</f>
        <v/>
      </c>
    </row>
    <row r="42">
      <c r="A42" s="10" t="inlineStr">
        <is>
          <t>Read: expected &gt; CoE means the price under-charges for the equity's risk (cheap); expected = CoE means fairly priced AT THIS risk-free rate - the bet is the RATE, not the bank.</t>
        </is>
      </c>
    </row>
    <row r="44">
      <c r="A44" s="4" t="inlineStr">
        <is>
          <t>Catalyst Odds (judgmental - the odds ARE the thesis; news scan as-of in attestation)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12" t="inlineStr">
        <is>
          <t>Catalyst</t>
        </is>
      </c>
      <c r="E45" s="12" t="inlineStr">
        <is>
          <t>Odds</t>
        </is>
      </c>
      <c r="F45" s="12" t="inlineStr">
        <is>
          <t>Read</t>
        </is>
      </c>
    </row>
    <row r="46">
      <c r="A46" s="6" t="inlineStr">
        <is>
          <t>Indonesia 10Y yield falls below 7%</t>
        </is>
      </c>
      <c r="E46" s="14" t="n">
        <v>0.5</v>
      </c>
      <c r="F46" s="10" t="inlineStr">
        <is>
          <t>THE swing node - CoE 14.4% is the whole verdict</t>
        </is>
      </c>
    </row>
    <row r="47">
      <c r="A47" s="6" t="inlineStr">
        <is>
          <t>ROE holds &gt;=17% through FY2027</t>
        </is>
      </c>
      <c r="E47" s="14" t="n">
        <v>0.6</v>
      </c>
      <c r="F47" s="10" t="inlineStr">
        <is>
          <t>Credit costs and NIM are the operating risk</t>
        </is>
      </c>
    </row>
    <row r="48">
      <c r="A48" s="6" t="inlineStr">
        <is>
          <t>Payout stays &gt;=75% (no Danantara sweep change)</t>
        </is>
      </c>
      <c r="E48" s="14" t="n">
        <v>0.65</v>
      </c>
      <c r="F48" s="10" t="inlineStr">
        <is>
          <t>10.6% forward yield is most of the return</t>
        </is>
      </c>
    </row>
    <row r="49">
      <c r="A49" s="6" t="inlineStr">
        <is>
          <t>Danantara governance stays hands-off on capital</t>
        </is>
      </c>
      <c r="E49" s="14" t="n">
        <v>0.55</v>
      </c>
      <c r="F49" s="10" t="inlineStr">
        <is>
          <t>SOE-holding overlay; two-sided for minorities</t>
        </is>
      </c>
    </row>
    <row r="50">
      <c r="A50" s="6" t="inlineStr">
        <is>
          <t>Foreign outflows from IDX stabilize</t>
        </is>
      </c>
      <c r="E50" s="14" t="n">
        <v>0.5</v>
      </c>
      <c r="F50" s="10" t="inlineStr">
        <is>
          <t>Sector derating is macro, not bank-specific</t>
        </is>
      </c>
    </row>
    <row r="51">
      <c r="A51" s="6" t="inlineStr">
        <is>
          <t>Loan growth tracks nominal GDP+</t>
        </is>
      </c>
      <c r="E51" s="14" t="n">
        <v>0.7</v>
      </c>
      <c r="F51" s="10" t="inlineStr">
        <is>
          <t>Book-value compounding = the excess-return engine</t>
        </is>
      </c>
    </row>
    <row r="55">
      <c r="A55" s="4" t="inlineStr">
        <is>
          <t>Scenario Table &amp; PWFV (decision layer - same grammar as the DCF engine)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12" t="inlineStr">
        <is>
          <t>Scenario</t>
        </is>
      </c>
      <c r="D56" s="12" t="inlineStr">
        <is>
          <t>Terminal ROE</t>
        </is>
      </c>
      <c r="E56" s="12" t="inlineStr">
        <is>
          <t>CoE</t>
        </is>
      </c>
      <c r="F56" s="12" t="inlineStr">
        <is>
          <t>Value/share</t>
        </is>
      </c>
      <c r="G56" s="12" t="inlineStr">
        <is>
          <t>Prob.</t>
        </is>
      </c>
      <c r="H56" s="12" t="inlineStr">
        <is>
          <t>Contribution</t>
        </is>
      </c>
    </row>
    <row r="57">
      <c r="A57" s="6" t="inlineStr">
        <is>
          <t>Bear</t>
        </is>
      </c>
      <c r="D57" s="9" t="n">
        <v>0.135</v>
      </c>
      <c r="E57" s="9" t="n">
        <v>0.165</v>
      </c>
      <c r="F57" s="20" t="n">
        <v>2937</v>
      </c>
      <c r="G57" s="14" t="n">
        <v>0.25</v>
      </c>
      <c r="H57" s="24">
        <f>F57*G57</f>
        <v/>
      </c>
    </row>
    <row r="58">
      <c r="A58" s="12" t="inlineStr">
        <is>
          <t>Base</t>
        </is>
      </c>
      <c r="D58" s="9" t="n">
        <v>0.16</v>
      </c>
      <c r="E58" s="9" t="n">
        <v>0.1441</v>
      </c>
      <c r="F58" s="20" t="n">
        <v>3955</v>
      </c>
      <c r="G58" s="14" t="n">
        <v>0.45</v>
      </c>
      <c r="H58" s="24">
        <f>F58*G58</f>
        <v/>
      </c>
    </row>
    <row r="59">
      <c r="A59" s="6" t="inlineStr">
        <is>
          <t>Bull</t>
        </is>
      </c>
      <c r="D59" s="9" t="n">
        <v>0.175</v>
      </c>
      <c r="E59" s="9" t="n">
        <v>0.13</v>
      </c>
      <c r="F59" s="20" t="n">
        <v>4929</v>
      </c>
      <c r="G59" s="14" t="n">
        <v>0.25</v>
      </c>
      <c r="H59" s="24">
        <f>F59*G59</f>
        <v/>
      </c>
    </row>
    <row r="60">
      <c r="A60" s="6" t="inlineStr">
        <is>
          <t>X-Bull</t>
        </is>
      </c>
      <c r="D60" s="9" t="n">
        <v>0.19</v>
      </c>
      <c r="E60" s="9" t="n">
        <v>0.12</v>
      </c>
      <c r="F60" s="20" t="n">
        <v>6008</v>
      </c>
      <c r="G60" s="14" t="n">
        <v>0.05</v>
      </c>
      <c r="H60" s="24">
        <f>F60*G60</f>
        <v/>
      </c>
    </row>
    <row r="62">
      <c r="A62" s="12" t="inlineStr">
        <is>
          <t>PWFV (probability-weighted fair value)</t>
        </is>
      </c>
      <c r="F62" s="18">
        <f>SUM(H57:H60)</f>
        <v/>
      </c>
      <c r="G62" s="21">
        <f>SUM(G57:G60)</f>
        <v/>
      </c>
    </row>
    <row r="63">
      <c r="A63" s="6" t="inlineStr">
        <is>
          <t>vs price - margin of safety read</t>
        </is>
      </c>
      <c r="F63" s="19">
        <f>F62/$C$10-1</f>
        <v/>
      </c>
    </row>
    <row r="64">
      <c r="A64" s="10" t="inlineStr">
        <is>
          <t>Verdict grammar: price INSIDE the scenario band = no margin of safety. For a bank the CoE axis carries the sovereign - a rate-regime call as much as a bank call.</t>
        </is>
      </c>
    </row>
    <row r="66">
      <c r="A66" s="4" t="inlineStr">
        <is>
          <t>Guards Fired &amp; Responses (audit trail)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8">
      <c r="A68" s="25" t="inlineStr">
        <is>
          <t>! ROE-FADE direction differs from the bank's own history - name the catalyst (rate cycle, credit-cost normalization, competition) on-sheet.</t>
        </is>
      </c>
    </row>
    <row r="69">
      <c r="A69" s="10" t="inlineStr">
        <is>
          <t>Response: Fade 17.2%-&gt;16.0% continues the bank's own 2023-2025 normalization (22.6%-&gt;17.2%) as credit costs and NIM mean-revert - direction-consistent.</t>
        </is>
      </c>
    </row>
    <row r="72">
      <c r="A72" s="4" t="inlineStr">
        <is>
          <t>Operating Build - the ROE above is DERIVED here, not asserted (FY2025 reported, IDR trillion)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inlineStr">
        <is>
          <t>Interest income</t>
        </is>
      </c>
      <c r="C73" s="20" t="n">
        <v>164.41</v>
      </c>
    </row>
    <row r="74">
      <c r="A74" s="6" t="inlineStr">
        <is>
          <t>Earning assets (= NII / NIM)</t>
        </is>
      </c>
      <c r="C74" s="20" t="n">
        <v>2171.983640081799</v>
      </c>
    </row>
    <row r="75">
      <c r="A75" s="6" t="inlineStr">
        <is>
          <t>Asset yield  = interest income / earning assets</t>
        </is>
      </c>
      <c r="C75" s="23" t="n">
        <v>0.07569578194143678</v>
      </c>
    </row>
    <row r="76">
      <c r="A76" s="12" t="inlineStr">
        <is>
          <t>INTEREST EXPENSE - what the bank pays for funding</t>
        </is>
      </c>
      <c r="C76" s="18" t="n">
        <v>58.2</v>
      </c>
    </row>
    <row r="77">
      <c r="A77" s="6" t="inlineStr">
        <is>
          <t>Cost of funds = interest expense / earning assets</t>
        </is>
      </c>
      <c r="C77" s="23" t="n">
        <v>0.02679578194143678</v>
      </c>
    </row>
    <row r="78">
      <c r="A78" s="12" t="inlineStr">
        <is>
          <t>Net interest margin  = yield less cost of funds</t>
        </is>
      </c>
      <c r="C78" s="8" t="n">
        <v>0.0489</v>
      </c>
    </row>
    <row r="79">
      <c r="A79" s="12" t="inlineStr">
        <is>
          <t>Net interest income</t>
        </is>
      </c>
      <c r="C79" s="18" t="n">
        <v>106.21</v>
      </c>
    </row>
    <row r="80">
      <c r="A80" s="6" t="inlineStr">
        <is>
          <t>Other operating income (fees, commissions, trading)</t>
        </is>
      </c>
      <c r="C80" s="20" t="n">
        <v>48</v>
      </c>
    </row>
    <row r="81">
      <c r="A81" s="12" t="inlineStr">
        <is>
          <t>OPERATING EXPENSES - total, as reported</t>
        </is>
      </c>
      <c r="C81" s="18" t="n">
        <v>67.58</v>
      </c>
    </row>
    <row r="82">
      <c r="A82" s="6" t="inlineStr">
        <is>
          <t xml:space="preserve">  Salaries and employee benefits</t>
        </is>
      </c>
      <c r="C82" s="20" t="n">
        <v>26.64</v>
      </c>
    </row>
    <row r="83">
      <c r="A83" s="6" t="inlineStr">
        <is>
          <t xml:space="preserve">  General and administrative</t>
        </is>
      </c>
      <c r="C83" s="20" t="n">
        <v>30.42</v>
      </c>
    </row>
    <row r="84">
      <c r="A84" s="6" t="inlineStr">
        <is>
          <t xml:space="preserve">  Other operating expenses</t>
        </is>
      </c>
      <c r="C84" s="20" t="n">
        <v>10.53</v>
      </c>
    </row>
    <row r="85">
      <c r="A85" s="6" t="inlineStr">
        <is>
          <t>Cost-to-income ratio = opex / (NII + other income)</t>
        </is>
      </c>
      <c r="C85" s="26" t="n">
        <v>0.4382335775890021</v>
      </c>
    </row>
    <row r="86">
      <c r="A86" s="6" t="inlineStr">
        <is>
          <t>Allowance for impairment losses (provisions)</t>
        </is>
      </c>
      <c r="C86" s="20" t="n">
        <v>11.33</v>
      </c>
    </row>
    <row r="87">
      <c r="A87" s="6" t="inlineStr">
        <is>
          <t xml:space="preserve">  cost of credit on loans</t>
        </is>
      </c>
      <c r="C87" s="23" t="n">
        <v>0.0058</v>
      </c>
    </row>
    <row r="88">
      <c r="A88" s="6" t="inlineStr">
        <is>
          <t>Income from operation (reported)</t>
        </is>
      </c>
      <c r="C88" s="20" t="n">
        <v>76.31</v>
      </c>
    </row>
    <row r="89">
      <c r="A89" s="6" t="inlineStr">
        <is>
          <t>Less: tax, minorities and other</t>
        </is>
      </c>
      <c r="C89" s="20" t="n">
        <v>20.02</v>
      </c>
    </row>
    <row r="90">
      <c r="A90" s="12" t="inlineStr">
        <is>
          <t>NET PROFIT attributable to PARENT (reported)</t>
        </is>
      </c>
      <c r="C90" s="18" t="n">
        <v>56.29</v>
      </c>
    </row>
    <row r="91">
      <c r="A91" s="6" t="inlineStr">
        <is>
          <t>Total assets</t>
        </is>
      </c>
      <c r="C91" s="20" t="n">
        <v>2830</v>
      </c>
    </row>
    <row r="92">
      <c r="A92" s="6" t="inlineStr">
        <is>
          <t>Total equity (incl. non-controlling interests)</t>
        </is>
      </c>
      <c r="C92" s="20" t="n">
        <v>327.4</v>
      </c>
    </row>
    <row r="93">
      <c r="A93" s="6" t="inlineStr">
        <is>
          <t xml:space="preserve">  less non-controlling interests</t>
        </is>
      </c>
      <c r="C93" s="20" t="n">
        <v>-33.65</v>
      </c>
    </row>
    <row r="94">
      <c r="A94" s="12" t="inlineStr">
        <is>
          <t>EQUITY ATTRIBUTABLE TO PARENT  = BVPS x shares</t>
        </is>
      </c>
      <c r="C94" s="18" t="n">
        <v>293.7795075</v>
      </c>
    </row>
    <row r="95">
      <c r="A95" s="6" t="inlineStr">
        <is>
          <t>ROA = net profit / assets</t>
        </is>
      </c>
      <c r="C95" s="23" t="n">
        <v>0.0198904593639576</v>
      </c>
    </row>
    <row r="96">
      <c r="A96" s="6" t="inlineStr">
        <is>
          <t>Leverage = assets / equity</t>
        </is>
      </c>
      <c r="C96" s="22" t="n">
        <v>9.633074900569774</v>
      </c>
    </row>
    <row r="97">
      <c r="A97" s="12" t="inlineStr">
        <is>
          <t>ROE DERIVED = ROA x leverage</t>
        </is>
      </c>
      <c r="C97" s="8" t="n">
        <v>0.191606284859743</v>
      </c>
    </row>
    <row r="98">
      <c r="A98" s="6" t="inlineStr">
        <is>
          <t>ROE used in the schedule above (year 1)</t>
        </is>
      </c>
      <c r="C98" s="23" t="n">
        <v>0.1917</v>
      </c>
    </row>
    <row r="99">
      <c r="A99" s="12" t="inlineStr">
        <is>
          <t>TIE-OUT - derived less used (must be ~0.00%)</t>
        </is>
      </c>
      <c r="C99" s="8" t="n">
        <v>-9.371514025705019e-05</v>
      </c>
    </row>
    <row r="101">
      <c r="A101" s="10" t="inlineStr">
        <is>
          <t>Source: PT Bank Mandiri (Persero) Tbk AUDITED consolidated financial statements FY2025 (auditor report 00026/2.1505/AU.1/07/0242-1/1/II/2026), via IDX/Indopremier filing, accessed 2026-07-20. Figures read directly from the statement of profit or loss: interest+sharia income 164,412,466; interest+sharia expense 58,202,431; NII 106,210,035; other operating income 48,002,435; salaries 26,635,454; G&amp;A 30,422,281; other 10,526,670; total other operating expenses 67,584,405; operating income 76,310,739; net income attributable to parent 56,293,950; equity attributable to parent 293,750,669; non-controlling interests 33,651,329; EPS 603.23 (Rp million).. Forward years fade NIM toward guidance (4.6-4.8% FY2026) and cost-to-income toward 42-43% FY2026; the ROE path above is the result, not an input. Interest expense and overhead are REPORTED figures, not estimates.</t>
        </is>
      </c>
    </row>
  </sheetData>
  <mergeCells count="1">
    <mergeCell ref="A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2026-08-06T21:08:28Z</dcterms:created>
  <dcterms:modified xmlns:dcterms="http://purl.org/dc/terms/" xmlns:xsi="http://www.w3.org/2001/XMLSchema-instance" xsi:type="dcterms:W3CDTF">2026-08-06T21:08:28Z</dcterms:modified>
</cp:coreProperties>
</file>