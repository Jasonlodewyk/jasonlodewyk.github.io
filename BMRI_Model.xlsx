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nk Valuation" sheetId="1" state="visible" r:id="rId3"/>
    <sheet name="Sensi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<sst xmlns="http://schemas.openxmlformats.org/spreadsheetml/2006/main" count="113" uniqueCount="112">
  <si>
    <t xml:space="preserve"> PT Bank Mandiri (Persero) Tbk (IDX: BMRI) - Excess Return &amp; DDM (bank engine)</t>
  </si>
  <si>
    <t xml:space="preserve">Per-share values in IDR | FCFF DCF is invalid for banks - this engine values equity DIRECTLY (book value + excess returns; dividends as the cross-check)</t>
  </si>
  <si>
    <t xml:space="preserve">Scenario: Price Rp4,480 17-Jul-2026 (live); rf 5.64% = Indonesia 10Y 7.26% (8-Jul-26) LESS the Baa2 sovereign default spread 1.62% (Damodaran Jan-2026); ERP 6.69% is Indonesia's TOTAL ERP, so country risk is counted once, not twice; IDX down &gt;30% on capital outflows/fiscal concerns - BMRI's fall from ~6,500 (Apr) is a SOVEREIGN repricing, not bank-specific. FY2025 filed: NI Rp56.3T, equity Rp327.4T, ROE 17.19%, payout 79% (DPS Rp476.96). BVPS Rp3,508 = filed equity / 93.33bn shares. CoE 14.4% carries the elevated rf - the verdict is rate-regime-conditional by construction.BOOK VALUE RESTATED 2026-07-20: BVPS now Rp3,148 = equity ATTRIBUTABLE TO PARENT (Rp293.75tn) / 93.32bn shares. Previously Rp3,508, which used TOTAL equity and so included Rp33.65tn of non-controlling interests that do not belong to BMRI shareholders. ROE restated to the same parent-only basis (17.2% -&gt; 19.2%) so numerator and denominator match. FY2024-25 ROE read from the audited statements; FY2021-23 scaled by the FY2025 parent/total factor and NOT independently verified - treat those three as indicative.</t>
  </si>
  <si>
    <t xml:space="preserve">Corporate actions: FY2025 dividend Rp476.96/sh (79% payout, Rp44.47T) approved Apr-2026, cum 8-May-2026 - already EX; trailing yield ~10.6% at today's price. BMRI transferred under Danantara SOE holding early 2026 - dividend-sweep/governance debate is the live narrative overlay on all SOE banks. No rights issue or buyback found. Searched 2026-07-17.</t>
  </si>
  <si>
    <t xml:space="preserve">Inputs (blue) - Cost of Equity via CAPM</t>
  </si>
  <si>
    <t xml:space="preserve">BVPS today</t>
  </si>
  <si>
    <t xml:space="preserve">Beta</t>
  </si>
  <si>
    <t xml:space="preserve">Cost of Equity</t>
  </si>
  <si>
    <t xml:space="preserve">Shares outstanding bn</t>
  </si>
  <si>
    <t xml:space="preserve">Equity risk premium</t>
  </si>
  <si>
    <t xml:space="preserve">ROE history (context)</t>
  </si>
  <si>
    <t xml:space="preserve">18.3% / 25.2% / 24.6% / 19.7% / 19.2%</t>
  </si>
  <si>
    <t xml:space="preserve">Current price</t>
  </si>
  <si>
    <t xml:space="preserve">Terminal growth g</t>
  </si>
  <si>
    <t xml:space="preserve">Peer P/BV context</t>
  </si>
  <si>
    <t xml:space="preserve">BBCA ~3x book (premium deposit franchise) at 6,475; BBRI ~1.3-1.4x at 2,970 - BMRI mid-pack SOE; whole sector derated with 2026 sovereign outflows (peer marks approximate).</t>
  </si>
  <si>
    <t xml:space="preserve">Risk-free (10Y, as-of below)</t>
  </si>
  <si>
    <t xml:space="preserve">10-Year Schedule - book value compounds at ROE x retention; excess return = (ROE - CoE) x opening book</t>
  </si>
  <si>
    <t xml:space="preserve">Year</t>
  </si>
  <si>
    <t xml:space="preserve">ROE (blue)</t>
  </si>
  <si>
    <t xml:space="preserve">Payout (blue)</t>
  </si>
  <si>
    <t xml:space="preserve">Implied growth</t>
  </si>
  <si>
    <t xml:space="preserve">Opening BVPS</t>
  </si>
  <si>
    <t xml:space="preserve">EPS</t>
  </si>
  <si>
    <t xml:space="preserve">DPS</t>
  </si>
  <si>
    <t xml:space="preserve">Excess return /sh</t>
  </si>
  <si>
    <t xml:space="preserve">Discount factor</t>
  </si>
  <si>
    <t xml:space="preserve">PV excess return</t>
  </si>
  <si>
    <t xml:space="preserve">PV dividend</t>
  </si>
  <si>
    <t xml:space="preserve">Valuation - Excess Return (primary) and DDM (cross-check)</t>
  </si>
  <si>
    <t xml:space="preserve">Book value today</t>
  </si>
  <si>
    <t xml:space="preserve">PV of 10y excess returns</t>
  </si>
  <si>
    <t xml:space="preserve">PV of terminal excess return</t>
  </si>
  <si>
    <t xml:space="preserve">VALUE PER SHARE - EXCESS RETURN</t>
  </si>
  <si>
    <t xml:space="preserve">vs current price</t>
  </si>
  <si>
    <t xml:space="preserve">DDM: PV dividends + Gordon TV</t>
  </si>
  <si>
    <t xml:space="preserve">Convergence (ER vs DDM)</t>
  </si>
  <si>
    <t xml:space="preserve">Justified terminal P/BV = (ROE_T - g)/(CoE - g)</t>
  </si>
  <si>
    <t xml:space="preserve">Current P/BV</t>
  </si>
  <si>
    <t xml:space="preserve">Expected Annual Return - the bank version of the TSR row</t>
  </si>
  <si>
    <t xml:space="preserve">Forward dividend yield (yr-1 DPS / price)</t>
  </si>
  <si>
    <t xml:space="preserve">Sustainable growth (terminal)</t>
  </si>
  <si>
    <t xml:space="preserve">EXPECTED RETURN AT TODAY'S PRICE (yield + growth)</t>
  </si>
  <si>
    <t xml:space="preserve">Cost of equity (the hurdle)</t>
  </si>
  <si>
    <t xml:space="preserve">Read: expected &gt; CoE means the price under-charges for the equity's risk (cheap); expected = CoE means fairly priced AT THIS risk-free rate - the bet is the RATE, not the bank.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</si>
  <si>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</si>
  <si>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</si>
  <si>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</si>
  <si>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</si>
  <si>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Indonesia 10Y yield falls below 7%</t>
  </si>
  <si>
    <t xml:space="preserve">THE swing node - CoE 14.4% is the whole verdict</t>
  </si>
  <si>
    <t xml:space="preserve">ROE holds &gt;=17% through FY2027</t>
  </si>
  <si>
    <t xml:space="preserve">Credit costs and NIM are the operating risk</t>
  </si>
  <si>
    <t xml:space="preserve">Payout stays &gt;=75% (no Danantara sweep change)</t>
  </si>
  <si>
    <t xml:space="preserve">10.6% forward yield is most of the return</t>
  </si>
  <si>
    <t xml:space="preserve">Danantara governance stays hands-off on capital</t>
  </si>
  <si>
    <t xml:space="preserve">SOE-holding overlay; two-sided for minorities</t>
  </si>
  <si>
    <t xml:space="preserve">Foreign outflows from IDX stabilize</t>
  </si>
  <si>
    <t xml:space="preserve">Sector derating is macro, not bank-specific</t>
  </si>
  <si>
    <t xml:space="preserve">Loan growth tracks nominal GDP+</t>
  </si>
  <si>
    <t xml:space="preserve">Book-value compounding = the excess-return engine</t>
  </si>
  <si>
    <t xml:space="preserve">Scenario Table &amp; PWFV (decision layer - same grammar as the DCF engine)</t>
  </si>
  <si>
    <t xml:space="preserve">Scenario</t>
  </si>
  <si>
    <t xml:space="preserve">Terminal ROE</t>
  </si>
  <si>
    <t xml:space="preserve">CoE</t>
  </si>
  <si>
    <t xml:space="preserve">Value/share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</si>
  <si>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</si>
  <si>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</si>
  <si>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</si>
  <si>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</si>
  <si>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</si>
  <si>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X-Bull</t>
  </si>
  <si>
    <t xml:space="preserve">PWFV (probability-weighted fair value)</t>
  </si>
  <si>
    <t xml:space="preserve">vs price - margin of safety read</t>
  </si>
  <si>
    <t xml:space="preserve">Verdict grammar: price INSIDE the scenario band = no margin of safety. For a bank the CoE axis carries the sovereign - a rate-regime call as much as a bank call.</t>
  </si>
  <si>
    <t xml:space="preserve">Guards Fired &amp; Responses (audit trail)</t>
  </si>
  <si>
    <t xml:space="preserve">! ROE-FADE direction differs from the bank's own history - name the catalyst (rate cycle, credit-cost normalization, competition) on-sheet.</t>
  </si>
  <si>
    <t xml:space="preserve">Response: Fade 17.2%-&gt;16.0% continues the bank's own 2023-2025 normalization (22.6%-&gt;17.2%) as credit costs and NIM mean-revert - direction-consistent.</t>
  </si>
  <si>
    <t xml:space="preserve">Operating Build - the ROE above is DERIVED here, not asserted (FY2025 reported, IDR trillion)</t>
  </si>
  <si>
    <t xml:space="preserve">Interest income</t>
  </si>
  <si>
    <t xml:space="preserve">Earning assets (= NII / NIM)</t>
  </si>
  <si>
    <t xml:space="preserve">Asset yield  = interest income / earning assets</t>
  </si>
  <si>
    <t xml:space="preserve">INTEREST EXPENSE - what the bank pays for funding</t>
  </si>
  <si>
    <t xml:space="preserve">Cost of funds = interest expense / earning assets</t>
  </si>
  <si>
    <t xml:space="preserve">Net interest margin  = yield less cost of funds</t>
  </si>
  <si>
    <t xml:space="preserve">Net interest income</t>
  </si>
  <si>
    <t xml:space="preserve">Other operating income (fees, commissions, trading)</t>
  </si>
  <si>
    <t xml:space="preserve">OPERATING EXPENSES - total, as reported</t>
  </si>
  <si>
    <t xml:space="preserve">  Salaries and employee benefits</t>
  </si>
  <si>
    <t xml:space="preserve">  General and administrative</t>
  </si>
  <si>
    <t xml:space="preserve">  Other operating expenses</t>
  </si>
  <si>
    <t xml:space="preserve">Cost-to-income ratio = opex / (NII + other income)</t>
  </si>
  <si>
    <t xml:space="preserve">Allowance for impairment losses (provisions)</t>
  </si>
  <si>
    <t xml:space="preserve">  cost of credit on loans</t>
  </si>
  <si>
    <t xml:space="preserve">Income from operation (reported)</t>
  </si>
  <si>
    <t xml:space="preserve">Less: tax, minorities and other</t>
  </si>
  <si>
    <t xml:space="preserve">NET PROFIT attributable to PARENT (reported)</t>
  </si>
  <si>
    <t xml:space="preserve">Total assets</t>
  </si>
  <si>
    <t xml:space="preserve">Total equity (incl. non-controlling interests)</t>
  </si>
  <si>
    <t xml:space="preserve">  less non-controlling interests</t>
  </si>
  <si>
    <t xml:space="preserve">EQUITY ATTRIBUTABLE TO PARENT  = BVPS x shares</t>
  </si>
  <si>
    <t xml:space="preserve">ROA = net profit / assets</t>
  </si>
  <si>
    <t xml:space="preserve">Leverage = assets / equity</t>
  </si>
  <si>
    <t xml:space="preserve">ROE DERIVED = ROA x leverage</t>
  </si>
  <si>
    <t xml:space="preserve">ROE used in the schedule above (year 1)</t>
  </si>
  <si>
    <t xml:space="preserve">TIE-OUT - derived less used (must be ~0.00%)</t>
  </si>
  <si>
    <t xml:space="preserve">Source: PT Bank Mandiri (Persero) Tbk AUDITED consolidated financial statements FY2025 (auditor report 00026/2.1505/AU.1/07/0242-1/1/II/2026), via IDX/Indopremier filing, accessed 2026-07-20. Figures read directly from the statement of profit or loss: interest+sharia income 164,412,466; interest+sharia expense 58,202,431; NII 106,210,035; other operating income 48,002,435; salaries 26,635,454; G&amp;A 30,422,281; other 10,526,670; total other operating expenses 67,584,405; operating income 76,310,739; net income attributable to parent 56,293,950; equity attributable to parent 293,750,669; non-controlling interests 33,651,329; EPS 603.23 (Rp million).. Forward years fade NIM toward guidance (4.6-4.8% FY2026) and cost-to-income toward 42-43% FY2026; the ROE path above is the result, not an input. Interest expense and overhead are REPORTED figures, not estimates.</t>
  </si>
  <si>
    <t xml:space="preserve"> Sensitivity - IDX: BMRI (value per share)</t>
  </si>
  <si>
    <t xml:space="preserve">Terminal ROE (rows) x Cost of Equity (cols) - python full-model recomputes; the whole verdict lives on this grid because the CoE carries the sovereign regime.</t>
  </si>
  <si>
    <t xml:space="preserve">Current price 4,480 | base cell: terminal ROE 17.8% x CoE 13.00% -&gt; 5,017</t>
  </si>
  <si>
    <t xml:space="preserve">Chart data</t>
  </si>
  <si>
    <t xml:space="preserve">BVPS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</si>
</sst>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%"/>
    <numFmt numFmtId="167" formatCode="#,##0"/>
    <numFmt numFmtId="168" formatCode="0"/>
    <numFmt numFmtId="169" formatCode="0.0%"/>
    <numFmt numFmtId="170" formatCode="0.00\x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595959"/>
      <name val="Arial"/>
      <family val="0"/>
      <charset val="1"/>
    </font>
    <font>
      <b val="true"/>
      <i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Book Value &amp; Dividend per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Sensitivity!$A$17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Sensitivity!$B$15:$K$15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Sensitivity!$B$17:$K$17</c:f>
              <c:numCache>
                <c:formatCode>#,##0</c:formatCode>
                <c:ptCount val="10"/>
                <c:pt idx="0">
                  <c:v>477</c:v>
                </c:pt>
                <c:pt idx="1">
                  <c:v>492</c:v>
                </c:pt>
                <c:pt idx="2">
                  <c:v>508</c:v>
                </c:pt>
                <c:pt idx="3">
                  <c:v>524</c:v>
                </c:pt>
                <c:pt idx="4">
                  <c:v>540</c:v>
                </c:pt>
                <c:pt idx="5">
                  <c:v>556</c:v>
                </c:pt>
                <c:pt idx="6">
                  <c:v>573</c:v>
                </c:pt>
                <c:pt idx="7">
                  <c:v>591</c:v>
                </c:pt>
                <c:pt idx="8">
                  <c:v>593</c:v>
                </c:pt>
                <c:pt idx="9">
                  <c:v>596</c:v>
                </c:pt>
              </c:numCache>
            </c:numRef>
          </c:val>
        </c:ser>
        <c:gapWidth val="150"/>
        <c:overlap val="0"/>
        <c:axId val="20580194"/>
        <c:axId val="82397087"/>
      </c:barChart>
      <c:lineChart>
        <c:grouping val="standard"/>
        <c:varyColors val="0"/>
        <c:ser>
          <c:idx val="1"/>
          <c:order val="1"/>
          <c:tx>
            <c:strRef>
              <c:f>Sensitivity!$A$16</c:f>
              <c:strCache>
                <c:ptCount val="1"/>
                <c:pt idx="0">
                  <c:v>BVPS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Sensitivity!$B$15:$K$15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Sensitivity!$B$16:$K$16</c:f>
              <c:numCache>
                <c:formatCode>#,##0</c:formatCode>
                <c:ptCount val="10"/>
                <c:pt idx="0">
                  <c:v>3148</c:v>
                </c:pt>
                <c:pt idx="1">
                  <c:v>3274</c:v>
                </c:pt>
                <c:pt idx="2">
                  <c:v>3405</c:v>
                </c:pt>
                <c:pt idx="3">
                  <c:v>3540</c:v>
                </c:pt>
                <c:pt idx="4">
                  <c:v>3679</c:v>
                </c:pt>
                <c:pt idx="5">
                  <c:v>3823</c:v>
                </c:pt>
                <c:pt idx="6">
                  <c:v>3971</c:v>
                </c:pt>
                <c:pt idx="7">
                  <c:v>4123</c:v>
                </c:pt>
                <c:pt idx="8">
                  <c:v>4280</c:v>
                </c:pt>
                <c:pt idx="9">
                  <c:v>4457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580194"/>
        <c:axId val="82397087"/>
      </c:lineChart>
      <c:catAx>
        <c:axId val="2058019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397087"/>
        <c:crosses val="autoZero"/>
        <c:auto val="1"/>
        <c:lblAlgn val="ctr"/>
        <c:lblOffset val="100"/>
        <c:noMultiLvlLbl val="0"/>
      </c:catAx>
      <c:valAx>
        <c:axId val="823970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5801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5</xdr:col>
      <xdr:colOff>543600</xdr:colOff>
      <xdr:row>36</xdr:row>
      <xdr:rowOff>1080</xdr:rowOff>
    </xdr:to>
    <xdr:graphicFrame>
      <xdr:nvGraphicFramePr>
        <xdr:cNvPr id="1" name="Chart 1"/>
        <xdr:cNvGraphicFramePr/>
      </xdr:nvGraphicFramePr>
      <xdr:xfrm>
        <a:off x="0" y="36194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customFormat="false" ht="15" hidden="false" customHeight="false" outlineLevel="0" collapsed="false">
      <c r="A8" s="6" t="s">
        <v>5</v>
      </c>
      <c r="C8" s="7" t="n">
        <v>3147.75</v>
      </c>
      <c r="D8" s="6" t="s">
        <v>6</v>
      </c>
      <c r="F8" s="7" t="n">
        <v>1.1</v>
      </c>
      <c r="G8" s="6" t="s">
        <v>7</v>
      </c>
      <c r="I8" s="8" t="n">
        <f aca="false">$C$11+$F$8*$F$9</f>
        <v>0.12999</v>
      </c>
    </row>
    <row r="9" customFormat="false" ht="15" hidden="false" customHeight="false" outlineLevel="0" collapsed="false">
      <c r="A9" s="6" t="s">
        <v>8</v>
      </c>
      <c r="C9" s="7" t="n">
        <v>93.33</v>
      </c>
      <c r="D9" s="6" t="s">
        <v>9</v>
      </c>
      <c r="F9" s="9" t="n">
        <v>0.0669</v>
      </c>
      <c r="G9" s="6" t="s">
        <v>10</v>
      </c>
      <c r="I9" s="10" t="s">
        <v>11</v>
      </c>
    </row>
    <row r="10" customFormat="false" ht="15" hidden="false" customHeight="false" outlineLevel="0" collapsed="false">
      <c r="A10" s="6" t="s">
        <v>12</v>
      </c>
      <c r="C10" s="11" t="n">
        <v>4480</v>
      </c>
      <c r="D10" s="6" t="s">
        <v>13</v>
      </c>
      <c r="F10" s="9" t="n">
        <v>0.04</v>
      </c>
      <c r="G10" s="6" t="s">
        <v>14</v>
      </c>
      <c r="I10" s="10" t="s">
        <v>15</v>
      </c>
    </row>
    <row r="11" customFormat="false" ht="15" hidden="false" customHeight="false" outlineLevel="0" collapsed="false">
      <c r="A11" s="6" t="s">
        <v>16</v>
      </c>
      <c r="C11" s="9" t="n">
        <v>0.0564</v>
      </c>
    </row>
    <row r="13" customFormat="false" ht="15" hidden="false" customHeight="false" outlineLevel="0" collapsed="false">
      <c r="A13" s="4" t="s">
        <v>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15" hidden="false" customHeight="false" outlineLevel="0" collapsed="false">
      <c r="A14" s="12" t="s">
        <v>18</v>
      </c>
      <c r="D14" s="13" t="n">
        <v>2026</v>
      </c>
      <c r="E14" s="13" t="n">
        <v>2027</v>
      </c>
      <c r="F14" s="13" t="n">
        <v>2028</v>
      </c>
      <c r="G14" s="13" t="n">
        <v>2029</v>
      </c>
      <c r="H14" s="13" t="n">
        <v>2030</v>
      </c>
      <c r="I14" s="13" t="n">
        <v>2031</v>
      </c>
      <c r="J14" s="13" t="n">
        <v>2032</v>
      </c>
      <c r="K14" s="13" t="n">
        <v>2033</v>
      </c>
      <c r="L14" s="13" t="n">
        <v>2034</v>
      </c>
      <c r="M14" s="13" t="n">
        <v>2035</v>
      </c>
    </row>
    <row r="15" customFormat="false" ht="15" hidden="false" customHeight="false" outlineLevel="0" collapsed="false">
      <c r="A15" s="6" t="s">
        <v>19</v>
      </c>
      <c r="D15" s="9" t="n">
        <v>0.1917</v>
      </c>
      <c r="E15" s="9" t="n">
        <v>0.1903</v>
      </c>
      <c r="F15" s="9" t="n">
        <v>0.1887</v>
      </c>
      <c r="G15" s="9" t="n">
        <v>0.1872</v>
      </c>
      <c r="H15" s="9" t="n">
        <v>0.1858</v>
      </c>
      <c r="I15" s="9" t="n">
        <v>0.1842</v>
      </c>
      <c r="J15" s="9" t="n">
        <v>0.1828</v>
      </c>
      <c r="K15" s="9" t="n">
        <v>0.1813</v>
      </c>
      <c r="L15" s="9" t="n">
        <v>0.1798</v>
      </c>
      <c r="M15" s="9" t="n">
        <v>0.1783</v>
      </c>
    </row>
    <row r="16" customFormat="false" ht="15" hidden="false" customHeight="false" outlineLevel="0" collapsed="false">
      <c r="A16" s="6" t="s">
        <v>20</v>
      </c>
      <c r="D16" s="14" t="n">
        <v>0.79</v>
      </c>
      <c r="E16" s="14" t="n">
        <v>0.79</v>
      </c>
      <c r="F16" s="14" t="n">
        <v>0.79</v>
      </c>
      <c r="G16" s="14" t="n">
        <v>0.79</v>
      </c>
      <c r="H16" s="14" t="n">
        <v>0.79</v>
      </c>
      <c r="I16" s="14" t="n">
        <v>0.79</v>
      </c>
      <c r="J16" s="14" t="n">
        <v>0.79</v>
      </c>
      <c r="K16" s="14" t="n">
        <v>0.79</v>
      </c>
      <c r="L16" s="14" t="n">
        <v>0.77</v>
      </c>
      <c r="M16" s="14" t="n">
        <v>0.75</v>
      </c>
    </row>
    <row r="17" customFormat="false" ht="15" hidden="false" customHeight="false" outlineLevel="0" collapsed="false">
      <c r="A17" s="6" t="s">
        <v>21</v>
      </c>
      <c r="D17" s="15" t="n">
        <f aca="false">D15*(1-D16)</f>
        <v>0.040257</v>
      </c>
      <c r="E17" s="15" t="n">
        <f aca="false">E15*(1-E16)</f>
        <v>0.039963</v>
      </c>
      <c r="F17" s="15" t="n">
        <f aca="false">F15*(1-F16)</f>
        <v>0.039627</v>
      </c>
      <c r="G17" s="15" t="n">
        <f aca="false">G15*(1-G16)</f>
        <v>0.039312</v>
      </c>
      <c r="H17" s="15" t="n">
        <f aca="false">H15*(1-H16)</f>
        <v>0.039018</v>
      </c>
      <c r="I17" s="15" t="n">
        <f aca="false">I15*(1-I16)</f>
        <v>0.038682</v>
      </c>
      <c r="J17" s="15" t="n">
        <f aca="false">J15*(1-J16)</f>
        <v>0.038388</v>
      </c>
      <c r="K17" s="15" t="n">
        <f aca="false">K15*(1-K16)</f>
        <v>0.038073</v>
      </c>
      <c r="L17" s="15" t="n">
        <f aca="false">L15*(1-L16)</f>
        <v>0.041354</v>
      </c>
      <c r="M17" s="15" t="n">
        <f aca="false">M15*(1-M16)</f>
        <v>0.044575</v>
      </c>
    </row>
    <row r="18" customFormat="false" ht="15" hidden="false" customHeight="false" outlineLevel="0" collapsed="false">
      <c r="A18" s="6" t="s">
        <v>22</v>
      </c>
      <c r="D18" s="16" t="n">
        <f aca="false">$C$8</f>
        <v>3147.75</v>
      </c>
      <c r="E18" s="16" t="n">
        <f aca="false">D18+D19-D20</f>
        <v>3274.46897175</v>
      </c>
      <c r="F18" s="16" t="n">
        <f aca="false">E18+E19-E20</f>
        <v>3405.32657526805</v>
      </c>
      <c r="G18" s="16" t="n">
        <f aca="false">F18+F19-F20</f>
        <v>3540.26945146619</v>
      </c>
      <c r="H18" s="16" t="n">
        <f aca="false">G18+G19-G20</f>
        <v>3679.44452414223</v>
      </c>
      <c r="I18" s="16" t="n">
        <f aca="false">H18+H19-H20</f>
        <v>3823.00909058521</v>
      </c>
      <c r="J18" s="16" t="n">
        <f aca="false">I18+I19-I20</f>
        <v>3970.89072822723</v>
      </c>
      <c r="K18" s="16" t="n">
        <f aca="false">J18+J19-J20</f>
        <v>4123.32528150242</v>
      </c>
      <c r="L18" s="16" t="n">
        <f aca="false">K18+K19-K20</f>
        <v>4280.31264494506</v>
      </c>
      <c r="M18" s="16" t="n">
        <f aca="false">L18+L19-L20</f>
        <v>4457.32069406412</v>
      </c>
    </row>
    <row r="19" customFormat="false" ht="15" hidden="false" customHeight="false" outlineLevel="0" collapsed="false">
      <c r="A19" s="6" t="s">
        <v>23</v>
      </c>
      <c r="D19" s="16" t="n">
        <f aca="false">D15*D18</f>
        <v>603.423675</v>
      </c>
      <c r="E19" s="16" t="n">
        <f aca="false">E15*E18</f>
        <v>623.131445324025</v>
      </c>
      <c r="F19" s="16" t="n">
        <f aca="false">F15*F18</f>
        <v>642.58512475308</v>
      </c>
      <c r="G19" s="16" t="n">
        <f aca="false">G15*G18</f>
        <v>662.738441314471</v>
      </c>
      <c r="H19" s="16" t="n">
        <f aca="false">H15*H18</f>
        <v>683.640792585627</v>
      </c>
      <c r="I19" s="16" t="n">
        <f aca="false">I15*I18</f>
        <v>704.198274485796</v>
      </c>
      <c r="J19" s="16" t="n">
        <f aca="false">J15*J18</f>
        <v>725.878825119938</v>
      </c>
      <c r="K19" s="16" t="n">
        <f aca="false">K15*K18</f>
        <v>747.558873536388</v>
      </c>
      <c r="L19" s="16" t="n">
        <f aca="false">L15*L18</f>
        <v>769.600213561122</v>
      </c>
      <c r="M19" s="16" t="n">
        <f aca="false">M15*M18</f>
        <v>794.740279751632</v>
      </c>
    </row>
    <row r="20" customFormat="false" ht="15" hidden="false" customHeight="false" outlineLevel="0" collapsed="false">
      <c r="A20" s="6" t="s">
        <v>24</v>
      </c>
      <c r="D20" s="16" t="n">
        <f aca="false">D19*D16</f>
        <v>476.70470325</v>
      </c>
      <c r="E20" s="16" t="n">
        <f aca="false">E19*E16</f>
        <v>492.27384180598</v>
      </c>
      <c r="F20" s="16" t="n">
        <f aca="false">F19*F16</f>
        <v>507.642248554933</v>
      </c>
      <c r="G20" s="16" t="n">
        <f aca="false">G19*G16</f>
        <v>523.563368638432</v>
      </c>
      <c r="H20" s="16" t="n">
        <f aca="false">H19*H16</f>
        <v>540.076226142645</v>
      </c>
      <c r="I20" s="16" t="n">
        <f aca="false">I19*I16</f>
        <v>556.316636843779</v>
      </c>
      <c r="J20" s="16" t="n">
        <f aca="false">J19*J16</f>
        <v>573.444271844751</v>
      </c>
      <c r="K20" s="16" t="n">
        <f aca="false">K19*K16</f>
        <v>590.571510093747</v>
      </c>
      <c r="L20" s="16" t="n">
        <f aca="false">L19*L16</f>
        <v>592.592164442064</v>
      </c>
      <c r="M20" s="16" t="n">
        <f aca="false">M19*M16</f>
        <v>596.055209813724</v>
      </c>
    </row>
    <row r="21" customFormat="false" ht="15" hidden="false" customHeight="false" outlineLevel="0" collapsed="false">
      <c r="A21" s="6" t="s">
        <v>25</v>
      </c>
      <c r="D21" s="16" t="n">
        <f aca="false">(D15-$I$8)*D18</f>
        <v>194.2476525</v>
      </c>
      <c r="E21" s="16" t="n">
        <f aca="false">(E15-$I$8)*E18</f>
        <v>197.483223686243</v>
      </c>
      <c r="F21" s="16" t="n">
        <f aca="false">(F15-$I$8)*F18</f>
        <v>199.926723233987</v>
      </c>
      <c r="G21" s="16" t="n">
        <f aca="false">(G15-$I$8)*G18</f>
        <v>202.538815318381</v>
      </c>
      <c r="H21" s="16" t="n">
        <f aca="false">(H15-$I$8)*H18</f>
        <v>205.349798892378</v>
      </c>
      <c r="I21" s="16" t="n">
        <f aca="false">(I15-$I$8)*I18</f>
        <v>207.245322800624</v>
      </c>
      <c r="J21" s="16" t="n">
        <f aca="false">(J15-$I$8)*J18</f>
        <v>209.70273935768</v>
      </c>
      <c r="K21" s="16" t="n">
        <f aca="false">(K15-$I$8)*K18</f>
        <v>211.567820193889</v>
      </c>
      <c r="L21" s="16" t="n">
        <f aca="false">(L15-$I$8)*L18</f>
        <v>213.202372844713</v>
      </c>
      <c r="M21" s="16" t="n">
        <f aca="false">(M15-$I$8)*M18</f>
        <v>215.333162730238</v>
      </c>
    </row>
    <row r="22" customFormat="false" ht="15" hidden="false" customHeight="false" outlineLevel="0" collapsed="false">
      <c r="A22" s="6" t="s">
        <v>26</v>
      </c>
      <c r="D22" s="17" t="n">
        <f aca="false">(1+$I$8)^-1</f>
        <v>0.884963583748529</v>
      </c>
      <c r="E22" s="17" t="n">
        <f aca="false">(1+$I$8)^-2</f>
        <v>0.783160544561039</v>
      </c>
      <c r="F22" s="17" t="n">
        <f aca="false">(1+$I$8)^-3</f>
        <v>0.693068562165187</v>
      </c>
      <c r="G22" s="17" t="n">
        <f aca="false">(1+$I$8)^-4</f>
        <v>0.613340438557144</v>
      </c>
      <c r="H22" s="17" t="n">
        <f aca="false">(1+$I$8)^-5</f>
        <v>0.542783952563424</v>
      </c>
      <c r="I22" s="17" t="n">
        <f aca="false">(1+$I$8)^-6</f>
        <v>0.480344031861719</v>
      </c>
      <c r="J22" s="17" t="n">
        <f aca="false">(1+$I$8)^-7</f>
        <v>0.425086975868564</v>
      </c>
      <c r="K22" s="17" t="n">
        <f aca="false">(1+$I$8)^-8</f>
        <v>0.376186493569469</v>
      </c>
      <c r="L22" s="17" t="n">
        <f aca="false">(1+$I$8)^-9</f>
        <v>0.33291134750703</v>
      </c>
      <c r="M22" s="17" t="n">
        <f aca="false">(1+$I$8)^-10</f>
        <v>0.294614419160373</v>
      </c>
    </row>
    <row r="23" customFormat="false" ht="15" hidden="false" customHeight="false" outlineLevel="0" collapsed="false">
      <c r="A23" s="6" t="s">
        <v>27</v>
      </c>
      <c r="D23" s="16" t="n">
        <f aca="false">D21*D22</f>
        <v>171.902098691139</v>
      </c>
      <c r="E23" s="16" t="n">
        <f aca="false">E21*E22</f>
        <v>154.661069003787</v>
      </c>
      <c r="F23" s="16" t="n">
        <f aca="false">F21*F22</f>
        <v>138.562926610177</v>
      </c>
      <c r="G23" s="16" t="n">
        <f aca="false">G21*G22</f>
        <v>124.22524581222</v>
      </c>
      <c r="H23" s="16" t="n">
        <f aca="false">H21*H22</f>
        <v>111.460575500909</v>
      </c>
      <c r="I23" s="16" t="n">
        <f aca="false">I21*I22</f>
        <v>99.5490539385354</v>
      </c>
      <c r="J23" s="16" t="n">
        <f aca="false">J21*J22</f>
        <v>89.14190330491</v>
      </c>
      <c r="K23" s="16" t="n">
        <f aca="false">K21*K22</f>
        <v>79.588956430875</v>
      </c>
      <c r="L23" s="16" t="n">
        <f aca="false">L21*L22</f>
        <v>70.9774892354298</v>
      </c>
      <c r="M23" s="16" t="n">
        <f aca="false">M21*M22</f>
        <v>63.4402546637351</v>
      </c>
    </row>
    <row r="24" customFormat="false" ht="15" hidden="false" customHeight="false" outlineLevel="0" collapsed="false">
      <c r="A24" s="6" t="s">
        <v>28</v>
      </c>
      <c r="D24" s="16" t="n">
        <f aca="false">D20*D22</f>
        <v>421.866302577899</v>
      </c>
      <c r="E24" s="16" t="n">
        <f aca="false">E20*E22</f>
        <v>385.529450021926</v>
      </c>
      <c r="F24" s="16" t="n">
        <f aca="false">F20*F22</f>
        <v>351.83088330027</v>
      </c>
      <c r="G24" s="16" t="n">
        <f aca="false">G20*G22</f>
        <v>321.122586133151</v>
      </c>
      <c r="H24" s="16" t="n">
        <f aca="false">H20*H22</f>
        <v>293.144708711242</v>
      </c>
      <c r="I24" s="16" t="n">
        <f aca="false">I20*I22</f>
        <v>267.223376333293</v>
      </c>
      <c r="J24" s="16" t="n">
        <f aca="false">J20*J22</f>
        <v>243.763691347636</v>
      </c>
      <c r="K24" s="16" t="n">
        <f aca="false">K20*K22</f>
        <v>222.165025584193</v>
      </c>
      <c r="L24" s="16" t="n">
        <f aca="false">L20*L22</f>
        <v>197.280655986515</v>
      </c>
      <c r="M24" s="16" t="n">
        <f aca="false">M20*M22</f>
        <v>175.606459426785</v>
      </c>
    </row>
    <row r="26" customFormat="false" ht="15" hidden="false" customHeight="false" outlineLevel="0" collapsed="false">
      <c r="A26" s="4" t="s">
        <v>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customFormat="false" ht="15" hidden="false" customHeight="false" outlineLevel="0" collapsed="false">
      <c r="A27" s="6" t="s">
        <v>30</v>
      </c>
      <c r="C27" s="16" t="n">
        <f aca="false">$C$8</f>
        <v>3147.75</v>
      </c>
    </row>
    <row r="28" customFormat="false" ht="15" hidden="false" customHeight="false" outlineLevel="0" collapsed="false">
      <c r="A28" s="6" t="s">
        <v>31</v>
      </c>
      <c r="C28" s="16" t="n">
        <f aca="false">SUM(D23:M23)</f>
        <v>1103.50957319172</v>
      </c>
    </row>
    <row r="29" customFormat="false" ht="15" hidden="false" customHeight="false" outlineLevel="0" collapsed="false">
      <c r="A29" s="6" t="s">
        <v>32</v>
      </c>
      <c r="C29" s="16" t="n">
        <f aca="false">((M15-$I$8)*(M18+M19-M20)*(1+$F$10)/($I$8-$F$10))*M22</f>
        <v>765.849851938948</v>
      </c>
    </row>
    <row r="30" customFormat="false" ht="15" hidden="false" customHeight="false" outlineLevel="0" collapsed="false">
      <c r="A30" s="12" t="s">
        <v>33</v>
      </c>
      <c r="C30" s="18" t="n">
        <f aca="false">C27+C28+C29</f>
        <v>5017.10942513067</v>
      </c>
    </row>
    <row r="31" customFormat="false" ht="15" hidden="false" customHeight="false" outlineLevel="0" collapsed="false">
      <c r="A31" s="6" t="s">
        <v>34</v>
      </c>
      <c r="C31" s="19" t="n">
        <f aca="false">C30/$C$10-1</f>
        <v>0.119890496680952</v>
      </c>
    </row>
    <row r="32" customFormat="false" ht="15" hidden="false" customHeight="false" outlineLevel="0" collapsed="false">
      <c r="A32" s="6" t="s">
        <v>35</v>
      </c>
      <c r="C32" s="20" t="n">
        <f aca="false">SUM(D24:M24)+(M20*(1+$F$10)/($I$8-$F$10))*M22</f>
        <v>4908.98883232052</v>
      </c>
    </row>
    <row r="33" customFormat="false" ht="15" hidden="false" customHeight="false" outlineLevel="0" collapsed="false">
      <c r="A33" s="6" t="s">
        <v>36</v>
      </c>
      <c r="C33" s="21" t="n">
        <f aca="false">C30/C32-1</f>
        <v>0.0220250231775396</v>
      </c>
    </row>
    <row r="34" customFormat="false" ht="15" hidden="false" customHeight="false" outlineLevel="0" collapsed="false">
      <c r="A34" s="6" t="s">
        <v>37</v>
      </c>
      <c r="C34" s="22" t="n">
        <f aca="false">(M15-$F$10)/($I$8-$F$10)</f>
        <v>1.53683742638071</v>
      </c>
    </row>
    <row r="35" customFormat="false" ht="15" hidden="false" customHeight="false" outlineLevel="0" collapsed="false">
      <c r="A35" s="6" t="s">
        <v>38</v>
      </c>
      <c r="C35" s="22" t="n">
        <f aca="false">$C$10/$C$8</f>
        <v>1.42323882138035</v>
      </c>
    </row>
    <row r="37" customFormat="false" ht="15" hidden="false" customHeight="false" outlineLevel="0" collapsed="false">
      <c r="A37" s="4" t="s">
        <v>39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</row>
    <row r="38" customFormat="false" ht="15" hidden="false" customHeight="false" outlineLevel="0" collapsed="false">
      <c r="A38" s="6" t="s">
        <v>40</v>
      </c>
      <c r="C38" s="23" t="n">
        <f aca="false">D20/$C$10</f>
        <v>0.106407299832589</v>
      </c>
    </row>
    <row r="39" customFormat="false" ht="15" hidden="false" customHeight="false" outlineLevel="0" collapsed="false">
      <c r="A39" s="6" t="s">
        <v>41</v>
      </c>
      <c r="C39" s="23" t="n">
        <f aca="false">$F$10</f>
        <v>0.04</v>
      </c>
    </row>
    <row r="40" customFormat="false" ht="15" hidden="false" customHeight="false" outlineLevel="0" collapsed="false">
      <c r="A40" s="12" t="s">
        <v>42</v>
      </c>
      <c r="C40" s="8" t="n">
        <f aca="false">C38+C39</f>
        <v>0.146407299832589</v>
      </c>
    </row>
    <row r="41" customFormat="false" ht="15" hidden="false" customHeight="false" outlineLevel="0" collapsed="false">
      <c r="A41" s="6" t="s">
        <v>43</v>
      </c>
      <c r="C41" s="23" t="n">
        <f aca="false">$I$8</f>
        <v>0.12999</v>
      </c>
    </row>
    <row r="42" customFormat="false" ht="15" hidden="false" customHeight="false" outlineLevel="0" collapsed="false">
      <c r="A42" s="10" t="s">
        <v>44</v>
      </c>
    </row>
    <row r="44" customFormat="false" ht="15" hidden="false" customHeight="false" outlineLevel="0" collapsed="false">
      <c r="A44" s="4" t="s">
        <v>45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customFormat="false" ht="15" hidden="false" customHeight="false" outlineLevel="0" collapsed="false">
      <c r="A45" s="12" t="s">
        <v>46</v>
      </c>
      <c r="E45" s="12" t="s">
        <v>47</v>
      </c>
      <c r="F45" s="12" t="s">
        <v>48</v>
      </c>
    </row>
    <row r="46" customFormat="false" ht="15" hidden="false" customHeight="false" outlineLevel="0" collapsed="false">
      <c r="A46" s="6" t="s">
        <v>49</v>
      </c>
      <c r="E46" s="14" t="n">
        <v>0.5</v>
      </c>
      <c r="F46" s="10" t="s">
        <v>50</v>
      </c>
    </row>
    <row r="47" customFormat="false" ht="15" hidden="false" customHeight="false" outlineLevel="0" collapsed="false">
      <c r="A47" s="6" t="s">
        <v>51</v>
      </c>
      <c r="E47" s="14" t="n">
        <v>0.6</v>
      </c>
      <c r="F47" s="10" t="s">
        <v>52</v>
      </c>
    </row>
    <row r="48" customFormat="false" ht="15" hidden="false" customHeight="false" outlineLevel="0" collapsed="false">
      <c r="A48" s="6" t="s">
        <v>53</v>
      </c>
      <c r="E48" s="14" t="n">
        <v>0.65</v>
      </c>
      <c r="F48" s="10" t="s">
        <v>54</v>
      </c>
    </row>
    <row r="49" customFormat="false" ht="15" hidden="false" customHeight="false" outlineLevel="0" collapsed="false">
      <c r="A49" s="6" t="s">
        <v>55</v>
      </c>
      <c r="E49" s="14" t="n">
        <v>0.55</v>
      </c>
      <c r="F49" s="10" t="s">
        <v>56</v>
      </c>
    </row>
    <row r="50" customFormat="false" ht="15" hidden="false" customHeight="false" outlineLevel="0" collapsed="false">
      <c r="A50" s="6" t="s">
        <v>57</v>
      </c>
      <c r="E50" s="14" t="n">
        <v>0.5</v>
      </c>
      <c r="F50" s="10" t="s">
        <v>58</v>
      </c>
    </row>
    <row r="51" customFormat="false" ht="15" hidden="false" customHeight="false" outlineLevel="0" collapsed="false">
      <c r="A51" s="6" t="s">
        <v>59</v>
      </c>
      <c r="E51" s="14" t="n">
        <v>0.7</v>
      </c>
      <c r="F51" s="10" t="s">
        <v>60</v>
      </c>
    </row>
    <row r="55" customFormat="false" ht="15" hidden="false" customHeight="false" outlineLevel="0" collapsed="false">
      <c r="A55" s="4" t="s">
        <v>61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</row>
    <row r="56" customFormat="false" ht="15" hidden="false" customHeight="false" outlineLevel="0" collapsed="false">
      <c r="A56" s="12" t="s">
        <v>62</v>
      </c>
      <c r="D56" s="12" t="s">
        <v>63</v>
      </c>
      <c r="E56" s="12" t="s">
        <v>64</v>
      </c>
      <c r="F56" s="12" t="s">
        <v>65</v>
      </c>
      <c r="G56" s="12" t="s">
        <v>66</v>
      </c>
      <c r="H56" s="12" t="s">
        <v>67</v>
      </c>
    </row>
    <row r="57" customFormat="false" ht="15" hidden="false" customHeight="false" outlineLevel="0" collapsed="false">
      <c r="A57" s="6" t="s">
        <v>68</v>
      </c>
      <c r="D57" s="9" t="n">
        <v>0.135</v>
      </c>
      <c r="E57" s="9" t="n">
        <v>0.165</v>
      </c>
      <c r="F57" s="20" t="n">
        <v>2937</v>
      </c>
      <c r="G57" s="14" t="n">
        <v>0.25</v>
      </c>
      <c r="H57" s="24" t="n">
        <f aca="false">F57*G57</f>
        <v>734.25</v>
      </c>
    </row>
    <row r="58" customFormat="false" ht="15" hidden="false" customHeight="false" outlineLevel="0" collapsed="false">
      <c r="A58" s="12" t="s">
        <v>69</v>
      </c>
      <c r="D58" s="9" t="n">
        <v>0.16</v>
      </c>
      <c r="E58" s="9" t="n">
        <v>0.1441</v>
      </c>
      <c r="F58" s="20" t="n">
        <v>3955</v>
      </c>
      <c r="G58" s="14" t="n">
        <v>0.45</v>
      </c>
      <c r="H58" s="24" t="n">
        <f aca="false">F58*G58</f>
        <v>1779.75</v>
      </c>
    </row>
    <row r="59" customFormat="false" ht="15" hidden="false" customHeight="false" outlineLevel="0" collapsed="false">
      <c r="A59" s="6" t="s">
        <v>70</v>
      </c>
      <c r="D59" s="9" t="n">
        <v>0.175</v>
      </c>
      <c r="E59" s="9" t="n">
        <v>0.13</v>
      </c>
      <c r="F59" s="20" t="n">
        <v>4929</v>
      </c>
      <c r="G59" s="14" t="n">
        <v>0.25</v>
      </c>
      <c r="H59" s="24" t="n">
        <f aca="false">F59*G59</f>
        <v>1232.25</v>
      </c>
    </row>
    <row r="60" customFormat="false" ht="15" hidden="false" customHeight="false" outlineLevel="0" collapsed="false">
      <c r="A60" s="6" t="s">
        <v>71</v>
      </c>
      <c r="D60" s="9" t="n">
        <v>0.19</v>
      </c>
      <c r="E60" s="9" t="n">
        <v>0.12</v>
      </c>
      <c r="F60" s="20" t="n">
        <v>6008</v>
      </c>
      <c r="G60" s="14" t="n">
        <v>0.05</v>
      </c>
      <c r="H60" s="24" t="n">
        <f aca="false">F60*G60</f>
        <v>300.4</v>
      </c>
    </row>
    <row r="62" customFormat="false" ht="15" hidden="false" customHeight="false" outlineLevel="0" collapsed="false">
      <c r="A62" s="12" t="s">
        <v>72</v>
      </c>
      <c r="F62" s="18" t="n">
        <f aca="false">SUM(H57:H60)</f>
        <v>4046.65</v>
      </c>
      <c r="G62" s="21" t="n">
        <f aca="false">SUM(G57:G60)</f>
        <v>1</v>
      </c>
    </row>
    <row r="63" customFormat="false" ht="15" hidden="false" customHeight="false" outlineLevel="0" collapsed="false">
      <c r="A63" s="6" t="s">
        <v>73</v>
      </c>
      <c r="F63" s="19" t="n">
        <f aca="false">F62/$C$10-1</f>
        <v>-0.0967299107142857</v>
      </c>
    </row>
    <row r="64" customFormat="false" ht="15" hidden="false" customHeight="false" outlineLevel="0" collapsed="false">
      <c r="A64" s="10" t="s">
        <v>74</v>
      </c>
    </row>
    <row r="66" customFormat="false" ht="15" hidden="false" customHeight="false" outlineLevel="0" collapsed="false">
      <c r="A66" s="4" t="s">
        <v>75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</row>
    <row r="68" customFormat="false" ht="15" hidden="false" customHeight="false" outlineLevel="0" collapsed="false">
      <c r="A68" s="25" t="s">
        <v>76</v>
      </c>
    </row>
    <row r="69" customFormat="false" ht="15" hidden="false" customHeight="false" outlineLevel="0" collapsed="false">
      <c r="A69" s="10" t="s">
        <v>77</v>
      </c>
    </row>
    <row r="72" customFormat="false" ht="15" hidden="false" customHeight="false" outlineLevel="0" collapsed="false">
      <c r="A72" s="4" t="s">
        <v>78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</row>
    <row r="73" customFormat="false" ht="15" hidden="false" customHeight="false" outlineLevel="0" collapsed="false">
      <c r="A73" s="6" t="s">
        <v>79</v>
      </c>
      <c r="C73" s="20" t="n">
        <v>164.41</v>
      </c>
    </row>
    <row r="74" customFormat="false" ht="15" hidden="false" customHeight="false" outlineLevel="0" collapsed="false">
      <c r="A74" s="6" t="s">
        <v>80</v>
      </c>
      <c r="C74" s="20" t="n">
        <v>2171.9836400818</v>
      </c>
    </row>
    <row r="75" customFormat="false" ht="15" hidden="false" customHeight="false" outlineLevel="0" collapsed="false">
      <c r="A75" s="6" t="s">
        <v>81</v>
      </c>
      <c r="C75" s="23" t="n">
        <v>0.0756957819414368</v>
      </c>
    </row>
    <row r="76" customFormat="false" ht="15" hidden="false" customHeight="false" outlineLevel="0" collapsed="false">
      <c r="A76" s="12" t="s">
        <v>82</v>
      </c>
      <c r="C76" s="18" t="n">
        <v>58.2</v>
      </c>
    </row>
    <row r="77" customFormat="false" ht="15" hidden="false" customHeight="false" outlineLevel="0" collapsed="false">
      <c r="A77" s="6" t="s">
        <v>83</v>
      </c>
      <c r="C77" s="23" t="n">
        <v>0.0267957819414368</v>
      </c>
    </row>
    <row r="78" customFormat="false" ht="15" hidden="false" customHeight="false" outlineLevel="0" collapsed="false">
      <c r="A78" s="12" t="s">
        <v>84</v>
      </c>
      <c r="C78" s="8" t="n">
        <v>0.0489</v>
      </c>
    </row>
    <row r="79" customFormat="false" ht="15" hidden="false" customHeight="false" outlineLevel="0" collapsed="false">
      <c r="A79" s="12" t="s">
        <v>85</v>
      </c>
      <c r="C79" s="18" t="n">
        <v>106.21</v>
      </c>
    </row>
    <row r="80" customFormat="false" ht="15" hidden="false" customHeight="false" outlineLevel="0" collapsed="false">
      <c r="A80" s="6" t="s">
        <v>86</v>
      </c>
      <c r="C80" s="20" t="n">
        <v>48</v>
      </c>
    </row>
    <row r="81" customFormat="false" ht="15" hidden="false" customHeight="false" outlineLevel="0" collapsed="false">
      <c r="A81" s="12" t="s">
        <v>87</v>
      </c>
      <c r="C81" s="18" t="n">
        <v>67.58</v>
      </c>
    </row>
    <row r="82" customFormat="false" ht="15" hidden="false" customHeight="false" outlineLevel="0" collapsed="false">
      <c r="A82" s="6" t="s">
        <v>88</v>
      </c>
      <c r="C82" s="20" t="n">
        <v>26.64</v>
      </c>
    </row>
    <row r="83" customFormat="false" ht="15" hidden="false" customHeight="false" outlineLevel="0" collapsed="false">
      <c r="A83" s="6" t="s">
        <v>89</v>
      </c>
      <c r="C83" s="20" t="n">
        <v>30.42</v>
      </c>
    </row>
    <row r="84" customFormat="false" ht="15" hidden="false" customHeight="false" outlineLevel="0" collapsed="false">
      <c r="A84" s="6" t="s">
        <v>90</v>
      </c>
      <c r="C84" s="20" t="n">
        <v>10.53</v>
      </c>
    </row>
    <row r="85" customFormat="false" ht="15" hidden="false" customHeight="false" outlineLevel="0" collapsed="false">
      <c r="A85" s="6" t="s">
        <v>91</v>
      </c>
      <c r="C85" s="26" t="n">
        <v>0.438233577589002</v>
      </c>
    </row>
    <row r="86" customFormat="false" ht="15" hidden="false" customHeight="false" outlineLevel="0" collapsed="false">
      <c r="A86" s="6" t="s">
        <v>92</v>
      </c>
      <c r="C86" s="20" t="n">
        <v>11.33</v>
      </c>
    </row>
    <row r="87" customFormat="false" ht="15" hidden="false" customHeight="false" outlineLevel="0" collapsed="false">
      <c r="A87" s="6" t="s">
        <v>93</v>
      </c>
      <c r="C87" s="23" t="n">
        <v>0.0058</v>
      </c>
    </row>
    <row r="88" customFormat="false" ht="15" hidden="false" customHeight="false" outlineLevel="0" collapsed="false">
      <c r="A88" s="6" t="s">
        <v>94</v>
      </c>
      <c r="C88" s="20" t="n">
        <v>76.31</v>
      </c>
    </row>
    <row r="89" customFormat="false" ht="15" hidden="false" customHeight="false" outlineLevel="0" collapsed="false">
      <c r="A89" s="6" t="s">
        <v>95</v>
      </c>
      <c r="C89" s="20" t="n">
        <v>20.02</v>
      </c>
    </row>
    <row r="90" customFormat="false" ht="15" hidden="false" customHeight="false" outlineLevel="0" collapsed="false">
      <c r="A90" s="12" t="s">
        <v>96</v>
      </c>
      <c r="C90" s="18" t="n">
        <v>56.29</v>
      </c>
    </row>
    <row r="91" customFormat="false" ht="15" hidden="false" customHeight="false" outlineLevel="0" collapsed="false">
      <c r="A91" s="6" t="s">
        <v>97</v>
      </c>
      <c r="C91" s="20" t="n">
        <v>2830</v>
      </c>
    </row>
    <row r="92" customFormat="false" ht="15" hidden="false" customHeight="false" outlineLevel="0" collapsed="false">
      <c r="A92" s="6" t="s">
        <v>98</v>
      </c>
      <c r="C92" s="20" t="n">
        <v>327.4</v>
      </c>
    </row>
    <row r="93" customFormat="false" ht="15" hidden="false" customHeight="false" outlineLevel="0" collapsed="false">
      <c r="A93" s="6" t="s">
        <v>99</v>
      </c>
      <c r="C93" s="20" t="n">
        <v>-33.65</v>
      </c>
    </row>
    <row r="94" customFormat="false" ht="15" hidden="false" customHeight="false" outlineLevel="0" collapsed="false">
      <c r="A94" s="12" t="s">
        <v>100</v>
      </c>
      <c r="C94" s="18" t="n">
        <v>293.7795075</v>
      </c>
    </row>
    <row r="95" customFormat="false" ht="15" hidden="false" customHeight="false" outlineLevel="0" collapsed="false">
      <c r="A95" s="6" t="s">
        <v>101</v>
      </c>
      <c r="C95" s="23" t="n">
        <v>0.0198904593639576</v>
      </c>
    </row>
    <row r="96" customFormat="false" ht="15" hidden="false" customHeight="false" outlineLevel="0" collapsed="false">
      <c r="A96" s="6" t="s">
        <v>102</v>
      </c>
      <c r="C96" s="22" t="n">
        <v>9.63307490056977</v>
      </c>
    </row>
    <row r="97" customFormat="false" ht="15" hidden="false" customHeight="false" outlineLevel="0" collapsed="false">
      <c r="A97" s="12" t="s">
        <v>103</v>
      </c>
      <c r="C97" s="8" t="n">
        <v>0.191606284859743</v>
      </c>
    </row>
    <row r="98" customFormat="false" ht="15" hidden="false" customHeight="false" outlineLevel="0" collapsed="false">
      <c r="A98" s="6" t="s">
        <v>104</v>
      </c>
      <c r="C98" s="23" t="n">
        <v>0.1917</v>
      </c>
    </row>
    <row r="99" customFormat="false" ht="15" hidden="false" customHeight="false" outlineLevel="0" collapsed="false">
      <c r="A99" s="12" t="s">
        <v>105</v>
      </c>
      <c r="C99" s="8" t="n">
        <v>-9.37151402570502E-005</v>
      </c>
    </row>
    <row r="101" customFormat="false" ht="15" hidden="false" customHeight="false" outlineLevel="0" collapsed="false">
      <c r="A101" s="10" t="s">
        <v>106</v>
      </c>
    </row>
  </sheetData>
  <mergeCells count="1">
    <mergeCell ref="A1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11" min="2" style="0" width="12"/>
  </cols>
  <sheetData>
    <row r="1" customFormat="false" ht="15" hidden="false" customHeight="false" outlineLevel="0" collapsed="false">
      <c r="A1" s="27" t="s">
        <v>107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</row>
    <row r="4" customFormat="false" ht="15" hidden="false" customHeight="false" outlineLevel="0" collapsed="false">
      <c r="A4" s="10" t="s">
        <v>108</v>
      </c>
    </row>
    <row r="6" customFormat="false" ht="15" hidden="false" customHeight="false" outlineLevel="0" collapsed="false">
      <c r="B6" s="8" t="n">
        <v>0.12</v>
      </c>
      <c r="C6" s="8" t="n">
        <v>0.13</v>
      </c>
      <c r="D6" s="8" t="n">
        <v>0.1441</v>
      </c>
      <c r="E6" s="8" t="n">
        <v>0.155</v>
      </c>
      <c r="F6" s="8" t="n">
        <v>0.165</v>
      </c>
    </row>
    <row r="7" customFormat="false" ht="15" hidden="false" customHeight="false" outlineLevel="0" collapsed="false">
      <c r="A7" s="8" t="n">
        <v>0.19</v>
      </c>
      <c r="B7" s="28" t="n">
        <v>6008</v>
      </c>
      <c r="C7" s="28" t="n">
        <v>5330</v>
      </c>
      <c r="D7" s="28" t="n">
        <v>4597</v>
      </c>
      <c r="E7" s="28" t="n">
        <v>4155</v>
      </c>
      <c r="F7" s="28" t="n">
        <v>3818</v>
      </c>
    </row>
    <row r="8" customFormat="false" ht="15" hidden="false" customHeight="false" outlineLevel="0" collapsed="false">
      <c r="A8" s="8" t="n">
        <v>0.175</v>
      </c>
      <c r="B8" s="28" t="n">
        <v>5537</v>
      </c>
      <c r="C8" s="28" t="n">
        <v>4929</v>
      </c>
      <c r="D8" s="28" t="n">
        <v>4272</v>
      </c>
      <c r="E8" s="28" t="n">
        <v>3874</v>
      </c>
      <c r="F8" s="28" t="n">
        <v>3570</v>
      </c>
    </row>
    <row r="9" customFormat="false" ht="15" hidden="false" customHeight="false" outlineLevel="0" collapsed="false">
      <c r="A9" s="8" t="n">
        <v>0.16</v>
      </c>
      <c r="B9" s="28" t="n">
        <v>5077</v>
      </c>
      <c r="C9" s="28" t="n">
        <v>4539</v>
      </c>
      <c r="D9" s="28" t="n">
        <v>3955</v>
      </c>
      <c r="E9" s="28" t="n">
        <v>3600</v>
      </c>
      <c r="F9" s="28" t="n">
        <v>3328</v>
      </c>
    </row>
    <row r="10" customFormat="false" ht="15" hidden="false" customHeight="false" outlineLevel="0" collapsed="false">
      <c r="A10" s="8" t="n">
        <v>0.145</v>
      </c>
      <c r="B10" s="28" t="n">
        <v>4630</v>
      </c>
      <c r="C10" s="28" t="n">
        <v>4159</v>
      </c>
      <c r="D10" s="28" t="n">
        <v>3646</v>
      </c>
      <c r="E10" s="28" t="n">
        <v>3332</v>
      </c>
      <c r="F10" s="28" t="n">
        <v>3092</v>
      </c>
    </row>
    <row r="11" customFormat="false" ht="15" hidden="false" customHeight="false" outlineLevel="0" collapsed="false">
      <c r="A11" s="8" t="n">
        <v>0.13</v>
      </c>
      <c r="B11" s="28" t="n">
        <v>4195</v>
      </c>
      <c r="C11" s="28" t="n">
        <v>3789</v>
      </c>
      <c r="D11" s="28" t="n">
        <v>3344</v>
      </c>
      <c r="E11" s="28" t="n">
        <v>3071</v>
      </c>
      <c r="F11" s="28" t="n">
        <v>2861</v>
      </c>
    </row>
    <row r="13" customFormat="false" ht="15" hidden="false" customHeight="false" outlineLevel="0" collapsed="false">
      <c r="A13" s="3" t="s">
        <v>109</v>
      </c>
    </row>
    <row r="15" customFormat="false" ht="15" hidden="false" customHeight="false" outlineLevel="0" collapsed="false">
      <c r="A15" s="10" t="s">
        <v>110</v>
      </c>
      <c r="B15" s="13" t="n">
        <v>2026</v>
      </c>
      <c r="C15" s="13" t="n">
        <v>2027</v>
      </c>
      <c r="D15" s="13" t="n">
        <v>2028</v>
      </c>
      <c r="E15" s="13" t="n">
        <v>2029</v>
      </c>
      <c r="F15" s="13" t="n">
        <v>2030</v>
      </c>
      <c r="G15" s="13" t="n">
        <v>2031</v>
      </c>
      <c r="H15" s="13" t="n">
        <v>2032</v>
      </c>
      <c r="I15" s="13" t="n">
        <v>2033</v>
      </c>
      <c r="J15" s="13" t="n">
        <v>2034</v>
      </c>
      <c r="K15" s="13" t="n">
        <v>2035</v>
      </c>
    </row>
    <row r="16" customFormat="false" ht="15" hidden="false" customHeight="false" outlineLevel="0" collapsed="false">
      <c r="A16" s="6" t="s">
        <v>111</v>
      </c>
      <c r="B16" s="20" t="n">
        <v>3148</v>
      </c>
      <c r="C16" s="20" t="n">
        <v>3274</v>
      </c>
      <c r="D16" s="20" t="n">
        <v>3405</v>
      </c>
      <c r="E16" s="20" t="n">
        <v>3540</v>
      </c>
      <c r="F16" s="20" t="n">
        <v>3679</v>
      </c>
      <c r="G16" s="20" t="n">
        <v>3823</v>
      </c>
      <c r="H16" s="20" t="n">
        <v>3971</v>
      </c>
      <c r="I16" s="20" t="n">
        <v>4123</v>
      </c>
      <c r="J16" s="20" t="n">
        <v>4280</v>
      </c>
      <c r="K16" s="20" t="n">
        <v>4457</v>
      </c>
    </row>
    <row r="17" customFormat="false" ht="15" hidden="false" customHeight="false" outlineLevel="0" collapsed="false">
      <c r="A17" s="6" t="s">
        <v>24</v>
      </c>
      <c r="B17" s="20" t="n">
        <v>477</v>
      </c>
      <c r="C17" s="20" t="n">
        <v>492</v>
      </c>
      <c r="D17" s="20" t="n">
        <v>508</v>
      </c>
      <c r="E17" s="20" t="n">
        <v>524</v>
      </c>
      <c r="F17" s="20" t="n">
        <v>540</v>
      </c>
      <c r="G17" s="20" t="n">
        <v>556</v>
      </c>
      <c r="H17" s="20" t="n">
        <v>573</v>
      </c>
      <c r="I17" s="20" t="n">
        <v>591</v>
      </c>
      <c r="J17" s="20" t="n">
        <v>593</v>
      </c>
      <c r="K17" s="20" t="n">
        <v>596</v>
      </c>
    </row>
  </sheetData>
  <mergeCells count="1">
    <mergeCell ref="A1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2026-07-21T03:25:11Z</dcterms:created>
  <dc:creator>openpyxl</dc:creator>
  <dc:description/>
  <dc:language>en-US</dc:language>
  <cp:lastModifiedBy/>
  <dcterms:modified xsi:type="dcterms:W3CDTF">2026-07-21T03:25:11Z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